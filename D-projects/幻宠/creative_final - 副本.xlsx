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aude-projects\projects\幻宠\"/>
    </mc:Choice>
  </mc:AlternateContent>
  <bookViews>
    <workbookView windowHeight="17655"/>
  </bookViews>
  <sheets>
    <sheet name="素材全量数据-按素材" sheetId="1" r:id="rId1"/>
    <sheet name="9月推荐-按方向" sheetId="2" r:id="rId2"/>
    <sheet name="9月推荐-方向汇总" sheetId="3" r:id="rId3"/>
    <sheet name="9月测试素材推荐v2" sheetId="4" r:id="rId4"/>
    <sheet name="素材表现汇总" sheetId="5" r:id="rId5"/>
    <sheet name="数据概览" sheetId="6" r:id="rId6"/>
    <sheet name="素材分析-双月对比与推荐" sheetId="7" r:id="rId7"/>
  </sheets>
  <definedNames>
    <definedName name="_xlnm._FilterDatabase" localSheetId="4" hidden="1">素材表现汇总!$A$1:$M$61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<sst xmlns="http://schemas.openxmlformats.org/spreadsheetml/2006/main" count="2545" uniqueCount="765">
  <si>
    <t>幻宠素材全量数据 — 以素材为主维度，月份+出价方式为下钻（标色逻辑：绿=推荐 黄=可选 红=不推荐 灰=噪音/重复）</t>
  </si>
  <si>
    <r>
      <t>🟢</t>
    </r>
    <r>
      <rPr>
        <sz val="9"/>
        <color rgb="FF555555"/>
        <rFont val="宋体"/>
        <charset val="134"/>
      </rPr>
      <t>绿</t>
    </r>
    <r>
      <rPr>
        <sz val="9"/>
        <color rgb="FF555555"/>
        <rFont val="Arial"/>
        <charset val="134"/>
      </rPr>
      <t>(≥7</t>
    </r>
    <r>
      <rPr>
        <sz val="9"/>
        <color rgb="FF555555"/>
        <rFont val="宋体"/>
        <charset val="134"/>
      </rPr>
      <t>分</t>
    </r>
    <r>
      <rPr>
        <sz val="9"/>
        <color rgb="FF555555"/>
        <rFont val="Arial"/>
        <charset val="134"/>
      </rPr>
      <t>) CPI&lt;$7+R1&gt;28%+R3&gt;10% | 🟡</t>
    </r>
    <r>
      <rPr>
        <sz val="9"/>
        <color rgb="FF555555"/>
        <rFont val="宋体"/>
        <charset val="134"/>
      </rPr>
      <t>黄</t>
    </r>
    <r>
      <rPr>
        <sz val="9"/>
        <color rgb="FF555555"/>
        <rFont val="Arial"/>
        <charset val="134"/>
      </rPr>
      <t>(5-6</t>
    </r>
    <r>
      <rPr>
        <sz val="9"/>
        <color rgb="FF555555"/>
        <rFont val="宋体"/>
        <charset val="134"/>
      </rPr>
      <t>分</t>
    </r>
    <r>
      <rPr>
        <sz val="9"/>
        <color rgb="FF555555"/>
        <rFont val="Arial"/>
        <charset val="134"/>
      </rPr>
      <t xml:space="preserve">) </t>
    </r>
    <r>
      <rPr>
        <sz val="9"/>
        <color rgb="FF555555"/>
        <rFont val="宋体"/>
        <charset val="134"/>
      </rPr>
      <t>有亮点但有短板</t>
    </r>
    <r>
      <rPr>
        <sz val="9"/>
        <color rgb="FF555555"/>
        <rFont val="Arial"/>
        <charset val="134"/>
      </rPr>
      <t xml:space="preserve"> | 🔴</t>
    </r>
    <r>
      <rPr>
        <sz val="9"/>
        <color rgb="FF555555"/>
        <rFont val="宋体"/>
        <charset val="134"/>
      </rPr>
      <t>红</t>
    </r>
    <r>
      <rPr>
        <sz val="9"/>
        <color rgb="FF555555"/>
        <rFont val="Arial"/>
        <charset val="134"/>
      </rPr>
      <t>(&lt;5</t>
    </r>
    <r>
      <rPr>
        <sz val="9"/>
        <color rgb="FF555555"/>
        <rFont val="宋体"/>
        <charset val="134"/>
      </rPr>
      <t>分</t>
    </r>
    <r>
      <rPr>
        <sz val="9"/>
        <color rgb="FF555555"/>
        <rFont val="Arial"/>
        <charset val="134"/>
      </rPr>
      <t xml:space="preserve">) </t>
    </r>
    <r>
      <rPr>
        <sz val="9"/>
        <color rgb="FF555555"/>
        <rFont val="宋体"/>
        <charset val="134"/>
      </rPr>
      <t>不推荐</t>
    </r>
    <r>
      <rPr>
        <sz val="9"/>
        <color rgb="FF555555"/>
        <rFont val="Arial"/>
        <charset val="134"/>
      </rPr>
      <t xml:space="preserve"> | ⬜</t>
    </r>
    <r>
      <rPr>
        <sz val="9"/>
        <color rgb="FF555555"/>
        <rFont val="宋体"/>
        <charset val="134"/>
      </rPr>
      <t>灰</t>
    </r>
    <r>
      <rPr>
        <sz val="9"/>
        <color rgb="FF555555"/>
        <rFont val="Arial"/>
        <charset val="134"/>
      </rPr>
      <t xml:space="preserve"> DNU&lt;10</t>
    </r>
    <r>
      <rPr>
        <sz val="9"/>
        <color rgb="FF555555"/>
        <rFont val="宋体"/>
        <charset val="134"/>
      </rPr>
      <t>噪音</t>
    </r>
    <r>
      <rPr>
        <sz val="9"/>
        <color rgb="FF555555"/>
        <rFont val="Arial"/>
        <charset val="134"/>
      </rPr>
      <t xml:space="preserve"> | </t>
    </r>
    <r>
      <rPr>
        <sz val="9"/>
        <color rgb="FF555555"/>
        <rFont val="宋体"/>
        <charset val="134"/>
      </rPr>
      <t>排序：方向优先级</t>
    </r>
    <r>
      <rPr>
        <sz val="9"/>
        <color rgb="FF555555"/>
        <rFont val="Arial"/>
        <charset val="134"/>
      </rPr>
      <t>(</t>
    </r>
    <r>
      <rPr>
        <sz val="9"/>
        <color rgb="FF555555"/>
        <rFont val="宋体"/>
        <charset val="134"/>
      </rPr>
      <t>捉宠</t>
    </r>
    <r>
      <rPr>
        <sz val="9"/>
        <color rgb="FF555555"/>
        <rFont val="Arial"/>
        <charset val="134"/>
      </rPr>
      <t>&gt;</t>
    </r>
    <r>
      <rPr>
        <sz val="9"/>
        <color rgb="FF555555"/>
        <rFont val="宋体"/>
        <charset val="134"/>
      </rPr>
      <t>融合</t>
    </r>
    <r>
      <rPr>
        <sz val="9"/>
        <color rgb="FF555555"/>
        <rFont val="Arial"/>
        <charset val="134"/>
      </rPr>
      <t>&gt;</t>
    </r>
    <r>
      <rPr>
        <sz val="9"/>
        <color rgb="FF555555"/>
        <rFont val="宋体"/>
        <charset val="134"/>
      </rPr>
      <t>进化</t>
    </r>
    <r>
      <rPr>
        <sz val="9"/>
        <color rgb="FF555555"/>
        <rFont val="Arial"/>
        <charset val="134"/>
      </rPr>
      <t>&gt;</t>
    </r>
    <r>
      <rPr>
        <sz val="9"/>
        <color rgb="FF555555"/>
        <rFont val="宋体"/>
        <charset val="134"/>
      </rPr>
      <t>战斗</t>
    </r>
    <r>
      <rPr>
        <sz val="9"/>
        <color rgb="FF555555"/>
        <rFont val="Arial"/>
        <charset val="134"/>
      </rPr>
      <t>&gt;</t>
    </r>
    <r>
      <rPr>
        <sz val="9"/>
        <color rgb="FF555555"/>
        <rFont val="宋体"/>
        <charset val="134"/>
      </rPr>
      <t>模拟经营</t>
    </r>
    <r>
      <rPr>
        <sz val="9"/>
        <color rgb="FF555555"/>
        <rFont val="Arial"/>
        <charset val="134"/>
      </rPr>
      <t>&gt;</t>
    </r>
    <r>
      <rPr>
        <sz val="9"/>
        <color rgb="FF555555"/>
        <rFont val="宋体"/>
        <charset val="134"/>
      </rPr>
      <t>天灾</t>
    </r>
    <r>
      <rPr>
        <sz val="9"/>
        <color rgb="FF555555"/>
        <rFont val="Arial"/>
        <charset val="134"/>
      </rPr>
      <t xml:space="preserve">) → </t>
    </r>
    <r>
      <rPr>
        <sz val="9"/>
        <color rgb="FF555555"/>
        <rFont val="宋体"/>
        <charset val="134"/>
      </rPr>
      <t>素材名</t>
    </r>
    <r>
      <rPr>
        <sz val="9"/>
        <color rgb="FF555555"/>
        <rFont val="Arial"/>
        <charset val="134"/>
      </rPr>
      <t xml:space="preserve"> → 6</t>
    </r>
    <r>
      <rPr>
        <sz val="9"/>
        <color rgb="FF555555"/>
        <rFont val="宋体"/>
        <charset val="134"/>
      </rPr>
      <t>月优先</t>
    </r>
    <r>
      <rPr>
        <sz val="9"/>
        <color rgb="FF555555"/>
        <rFont val="Arial"/>
        <charset val="134"/>
      </rPr>
      <t xml:space="preserve"> → CPI</t>
    </r>
    <r>
      <rPr>
        <sz val="9"/>
        <color rgb="FF555555"/>
        <rFont val="宋体"/>
        <charset val="134"/>
      </rPr>
      <t>升序</t>
    </r>
  </si>
  <si>
    <t>素材名称</t>
  </si>
  <si>
    <t>方向归类</t>
  </si>
  <si>
    <t>内容标签</t>
  </si>
  <si>
    <t>月份</t>
  </si>
  <si>
    <t>出价方式</t>
  </si>
  <si>
    <t>DNU</t>
  </si>
  <si>
    <t>CPI(USD)</t>
  </si>
  <si>
    <t>R1</t>
  </si>
  <si>
    <t>R2</t>
  </si>
  <si>
    <t>R3</t>
  </si>
  <si>
    <t>次留成本</t>
  </si>
  <si>
    <t>花费(USD)</t>
  </si>
  <si>
    <t>安装数</t>
  </si>
  <si>
    <t>展示次数</t>
  </si>
  <si>
    <t>点击量</t>
  </si>
  <si>
    <t>CTR</t>
  </si>
  <si>
    <t>CVR</t>
  </si>
  <si>
    <t>CTR*CVR</t>
  </si>
  <si>
    <t>备注</t>
  </si>
  <si>
    <r>
      <t>P-</t>
    </r>
    <r>
      <rPr>
        <b/>
        <sz val="10"/>
        <rFont val="宋体"/>
        <charset val="134"/>
      </rPr>
      <t>抓宠经营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幽飘</t>
    </r>
  </si>
  <si>
    <t>捉宠</t>
  </si>
  <si>
    <t>抓宠, 探索/冒险</t>
  </si>
  <si>
    <t>6月</t>
  </si>
  <si>
    <t>Install</t>
  </si>
  <si>
    <t>31.8%</t>
  </si>
  <si>
    <t>20.5%</t>
  </si>
  <si>
    <t>18.2%</t>
  </si>
  <si>
    <t>$473</t>
  </si>
  <si>
    <t>0.94%</t>
  </si>
  <si>
    <t>22.2%</t>
  </si>
  <si>
    <r>
      <t>CPI</t>
    </r>
    <r>
      <rPr>
        <sz val="10"/>
        <rFont val="宋体"/>
        <charset val="134"/>
      </rPr>
      <t>适中</t>
    </r>
    <r>
      <rPr>
        <sz val="10"/>
        <rFont val="Arial"/>
        <charset val="134"/>
      </rPr>
      <t>($8.60); R1=32%</t>
    </r>
    <r>
      <rPr>
        <sz val="10"/>
        <rFont val="宋体"/>
        <charset val="134"/>
      </rPr>
      <t>尚可</t>
    </r>
    <r>
      <rPr>
        <sz val="10"/>
        <rFont val="Arial"/>
        <charset val="134"/>
      </rPr>
      <t>; R3=18%</t>
    </r>
    <r>
      <rPr>
        <sz val="10"/>
        <rFont val="宋体"/>
        <charset val="134"/>
      </rPr>
      <t>达标</t>
    </r>
    <r>
      <rPr>
        <sz val="10"/>
        <rFont val="Arial"/>
        <charset val="134"/>
      </rPr>
      <t>(≥10%)</t>
    </r>
  </si>
  <si>
    <t>确认</t>
  </si>
  <si>
    <r>
      <t>P-</t>
    </r>
    <r>
      <rPr>
        <b/>
        <sz val="10"/>
        <rFont val="宋体"/>
        <charset val="134"/>
      </rPr>
      <t>抓宠经营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虐待</t>
    </r>
  </si>
  <si>
    <t>抓宠</t>
  </si>
  <si>
    <t>35.7%</t>
  </si>
  <si>
    <t>0.0%</t>
  </si>
  <si>
    <t>$150</t>
  </si>
  <si>
    <t>1.81%</t>
  </si>
  <si>
    <t>13.6%</t>
  </si>
  <si>
    <t>小样本</t>
  </si>
  <si>
    <r>
      <t>P-</t>
    </r>
    <r>
      <rPr>
        <b/>
        <sz val="10"/>
        <rFont val="宋体"/>
        <charset val="134"/>
      </rPr>
      <t>抓宠经营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超梦</t>
    </r>
  </si>
  <si>
    <t>28.3%</t>
  </si>
  <si>
    <t>16.7%</t>
  </si>
  <si>
    <t>10.0%</t>
  </si>
  <si>
    <t>$374</t>
  </si>
  <si>
    <t>1.42%</t>
  </si>
  <si>
    <t>25.7%</t>
  </si>
  <si>
    <t>—</t>
  </si>
  <si>
    <r>
      <t>V-</t>
    </r>
    <r>
      <rPr>
        <b/>
        <sz val="10"/>
        <rFont val="宋体"/>
        <charset val="134"/>
      </rPr>
      <t>帕萌战斗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合成狙击</t>
    </r>
  </si>
  <si>
    <t>捉宠/战斗</t>
  </si>
  <si>
    <t>战斗, 抓宠</t>
  </si>
  <si>
    <t>25.0%</t>
  </si>
  <si>
    <t>$25</t>
  </si>
  <si>
    <t>2.41%</t>
  </si>
  <si>
    <t>17.4%</t>
  </si>
  <si>
    <t>⚠DNU&lt;10噪音 小样本; ⚠D1跟踪异常</t>
  </si>
  <si>
    <r>
      <t>V-</t>
    </r>
    <r>
      <rPr>
        <b/>
        <sz val="10"/>
        <rFont val="宋体"/>
        <charset val="134"/>
      </rPr>
      <t>抓宠战斗</t>
    </r>
  </si>
  <si>
    <t>抓宠, 战斗</t>
  </si>
  <si>
    <t>20.8%</t>
  </si>
  <si>
    <t>6.5%</t>
  </si>
  <si>
    <t>$424</t>
  </si>
  <si>
    <t>3.01%</t>
  </si>
  <si>
    <t>13.2%</t>
  </si>
  <si>
    <t>📋4月6月内容相同</t>
  </si>
  <si>
    <t>AEO</t>
  </si>
  <si>
    <t>35.1%</t>
  </si>
  <si>
    <t>13.0%</t>
  </si>
  <si>
    <t>$851</t>
  </si>
  <si>
    <t>0.70%</t>
  </si>
  <si>
    <t>40.1%</t>
  </si>
  <si>
    <t>4月</t>
  </si>
  <si>
    <t>26.7%</t>
  </si>
  <si>
    <t>8.9%</t>
  </si>
  <si>
    <t>11.1%</t>
  </si>
  <si>
    <t>$246</t>
  </si>
  <si>
    <t>1.21%</t>
  </si>
  <si>
    <t>42.2%</t>
  </si>
  <si>
    <t>38.6%</t>
  </si>
  <si>
    <t>24.6%</t>
  </si>
  <si>
    <t>12.3%</t>
  </si>
  <si>
    <t>$414</t>
  </si>
  <si>
    <t>0.81%</t>
  </si>
  <si>
    <t>44.2%</t>
  </si>
  <si>
    <r>
      <t>V-</t>
    </r>
    <r>
      <rPr>
        <b/>
        <sz val="10"/>
        <rFont val="宋体"/>
        <charset val="134"/>
      </rPr>
      <t>抓宠经营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捕捞竞品</t>
    </r>
  </si>
  <si>
    <t>捉宠/模拟经营/建造</t>
  </si>
  <si>
    <t>抓宠, 模拟经营</t>
  </si>
  <si>
    <t>18.5%</t>
  </si>
  <si>
    <t>9.3%</t>
  </si>
  <si>
    <t>7.4%</t>
  </si>
  <si>
    <t>$272</t>
  </si>
  <si>
    <t>1.59%</t>
  </si>
  <si>
    <t>32.3%</t>
  </si>
  <si>
    <t>替换资产</t>
  </si>
  <si>
    <r>
      <t>V-</t>
    </r>
    <r>
      <rPr>
        <b/>
        <sz val="10"/>
        <rFont val="宋体"/>
        <charset val="134"/>
      </rPr>
      <t>抓宠经营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虐待</t>
    </r>
  </si>
  <si>
    <t>50.0%</t>
  </si>
  <si>
    <t>$20</t>
  </si>
  <si>
    <t>4.43%</t>
  </si>
  <si>
    <t>15.6%</t>
  </si>
  <si>
    <t>⚠DNU&lt;10噪音 小样本</t>
  </si>
  <si>
    <r>
      <t>V-</t>
    </r>
    <r>
      <rPr>
        <b/>
        <sz val="10"/>
        <rFont val="宋体"/>
        <charset val="134"/>
      </rPr>
      <t>核心玩法</t>
    </r>
  </si>
  <si>
    <t>战斗, 抓宠, 探索/冒险</t>
  </si>
  <si>
    <t>$77</t>
  </si>
  <si>
    <t>0.85%</t>
  </si>
  <si>
    <t>32.0%</t>
  </si>
  <si>
    <t>📋4月6月内容相同 ⚠DNU&lt;10噪音 小样本</t>
  </si>
  <si>
    <t>66.7%</t>
  </si>
  <si>
    <t>33.3%</t>
  </si>
  <si>
    <t>$32</t>
  </si>
  <si>
    <t>2.82%</t>
  </si>
  <si>
    <t>7.0%</t>
  </si>
  <si>
    <t>40.7%</t>
  </si>
  <si>
    <t>$278</t>
  </si>
  <si>
    <t>2.37%</t>
  </si>
  <si>
    <t>20.0%</t>
  </si>
  <si>
    <t>40.0%</t>
  </si>
  <si>
    <t>$43</t>
  </si>
  <si>
    <t>1.09%</t>
  </si>
  <si>
    <r>
      <t>V-</t>
    </r>
    <r>
      <rPr>
        <b/>
        <sz val="10"/>
        <rFont val="宋体"/>
        <charset val="134"/>
      </rPr>
      <t>高效抓宠</t>
    </r>
  </si>
  <si>
    <t>抓宠, 战斗, 宠物展示</t>
  </si>
  <si>
    <t>$34</t>
  </si>
  <si>
    <t>3.10%</t>
  </si>
  <si>
    <t>8.7%</t>
  </si>
  <si>
    <t>考虑改物料</t>
  </si>
  <si>
    <t>37.5%</t>
  </si>
  <si>
    <t>21.9%</t>
  </si>
  <si>
    <t>$221</t>
  </si>
  <si>
    <t>1.20%</t>
  </si>
  <si>
    <r>
      <t>P-</t>
    </r>
    <r>
      <rPr>
        <b/>
        <sz val="10"/>
        <rFont val="宋体"/>
        <charset val="134"/>
      </rPr>
      <t>宠物展示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合成</t>
    </r>
    <r>
      <rPr>
        <b/>
        <sz val="10"/>
        <rFont val="Arial"/>
        <charset val="134"/>
      </rPr>
      <t xml:space="preserve"> 3D</t>
    </r>
  </si>
  <si>
    <t>融合/进化</t>
  </si>
  <si>
    <t>宠物融合/合成, 宠物进化, 宠物展示</t>
  </si>
  <si>
    <t>27.6%</t>
  </si>
  <si>
    <t>13.8%</t>
  </si>
  <si>
    <t>10.3%</t>
  </si>
  <si>
    <t>$1277</t>
  </si>
  <si>
    <t>1.65%</t>
  </si>
  <si>
    <t>19.8%</t>
  </si>
  <si>
    <r>
      <t>V-</t>
    </r>
    <r>
      <rPr>
        <b/>
        <sz val="10"/>
        <rFont val="宋体"/>
        <charset val="134"/>
      </rPr>
      <t>宠物展示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宠物合成</t>
    </r>
  </si>
  <si>
    <t>融合</t>
  </si>
  <si>
    <t>宠物展示, 宠物融合/合成</t>
  </si>
  <si>
    <t>27.1%</t>
  </si>
  <si>
    <t>24.0%</t>
  </si>
  <si>
    <t>14.6%</t>
  </si>
  <si>
    <t>$977</t>
  </si>
  <si>
    <t>1.02%</t>
  </si>
  <si>
    <t>26.0%</t>
  </si>
  <si>
    <r>
      <t>P-</t>
    </r>
    <r>
      <rPr>
        <b/>
        <sz val="10"/>
        <rFont val="宋体"/>
        <charset val="134"/>
      </rPr>
      <t>宠物展示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二阶进化</t>
    </r>
  </si>
  <si>
    <t>进化</t>
  </si>
  <si>
    <t>宠物进化, 宠物展示</t>
  </si>
  <si>
    <t>$107</t>
  </si>
  <si>
    <t>2.40%</t>
  </si>
  <si>
    <t>15.8%</t>
  </si>
  <si>
    <t>V-宠物展示-二阶合成</t>
  </si>
  <si>
    <t>宠物展示, 宠物进化</t>
  </si>
  <si>
    <t>$33</t>
  </si>
  <si>
    <t>1.26%</t>
  </si>
  <si>
    <t>27.3%</t>
  </si>
  <si>
    <t>P-宠物展示-帕基战斗</t>
  </si>
  <si>
    <t>战斗</t>
  </si>
  <si>
    <t>14.3%</t>
  </si>
  <si>
    <t>$76</t>
  </si>
  <si>
    <t>1.12%</t>
  </si>
  <si>
    <t>18.3%</t>
  </si>
  <si>
    <t>V-帕萌战斗-出狱打鸡</t>
  </si>
  <si>
    <t>36.4%</t>
  </si>
  <si>
    <t>9.1%</t>
  </si>
  <si>
    <t>$153</t>
  </si>
  <si>
    <t>1.07%</t>
  </si>
  <si>
    <t>25.4%</t>
  </si>
  <si>
    <t>V-帕萌战斗-杀宠复刻</t>
  </si>
  <si>
    <t>21.5%</t>
  </si>
  <si>
    <t>9.2%</t>
  </si>
  <si>
    <t>6.2%</t>
  </si>
  <si>
    <t>$913</t>
  </si>
  <si>
    <t>1.58%</t>
  </si>
  <si>
    <t>V-帕萌战斗-群殴打鸡</t>
  </si>
  <si>
    <t>52.9%</t>
  </si>
  <si>
    <t>29.4%</t>
  </si>
  <si>
    <t>5.9%</t>
  </si>
  <si>
    <t>$115</t>
  </si>
  <si>
    <t>3.44%</t>
  </si>
  <si>
    <t>11.9%</t>
  </si>
  <si>
    <t>V-帕萌战斗-雪地竞品</t>
  </si>
  <si>
    <t>31.7%</t>
  </si>
  <si>
    <t>12.2%</t>
  </si>
  <si>
    <t>9.8%</t>
  </si>
  <si>
    <t>$277</t>
  </si>
  <si>
    <t>3.06%</t>
  </si>
  <si>
    <t>V-抓宠经营-拯救可达鸭</t>
  </si>
  <si>
    <t>模拟经营/建造/战斗</t>
  </si>
  <si>
    <t>战斗, 建造</t>
  </si>
  <si>
    <t>$169</t>
  </si>
  <si>
    <t>3.41%</t>
  </si>
  <si>
    <t>6.1%</t>
  </si>
  <si>
    <t>V-抓宠经营-狐狸</t>
  </si>
  <si>
    <t>$78</t>
  </si>
  <si>
    <t>2.73%</t>
  </si>
  <si>
    <t>7.7%</t>
  </si>
  <si>
    <t>V-模拟经营-砍树</t>
  </si>
  <si>
    <t>模拟经营, 建造, 收集, 战斗</t>
  </si>
  <si>
    <t>$116</t>
  </si>
  <si>
    <t>0.72%</t>
  </si>
  <si>
    <t>P-模拟经营-冬日写实</t>
  </si>
  <si>
    <t>模拟经营/建造</t>
  </si>
  <si>
    <t>模拟经营, 建造</t>
  </si>
  <si>
    <t>17.9%</t>
  </si>
  <si>
    <t>9.5%</t>
  </si>
  <si>
    <t>4.2%</t>
  </si>
  <si>
    <t>$1352</t>
  </si>
  <si>
    <t>1.27%</t>
  </si>
  <si>
    <t>14.7%</t>
  </si>
  <si>
    <t>P-模拟经营-建造成长</t>
  </si>
  <si>
    <t>模拟经营, 建造, 收集</t>
  </si>
  <si>
    <t>$157</t>
  </si>
  <si>
    <t>1.34%</t>
  </si>
  <si>
    <t>10.8%</t>
  </si>
  <si>
    <t>P-灾后重建</t>
  </si>
  <si>
    <t>44.4%</t>
  </si>
  <si>
    <t>$62</t>
  </si>
  <si>
    <t>2.22%</t>
  </si>
  <si>
    <t>24.2%</t>
  </si>
  <si>
    <r>
      <t>V-</t>
    </r>
    <r>
      <rPr>
        <b/>
        <sz val="10"/>
        <rFont val="宋体"/>
        <charset val="134"/>
      </rPr>
      <t>场景展示</t>
    </r>
  </si>
  <si>
    <t>8.3%</t>
  </si>
  <si>
    <t>2.48%</t>
  </si>
  <si>
    <t>📋4月6月内容相同 小样本</t>
  </si>
  <si>
    <t>$142</t>
  </si>
  <si>
    <t>1.06%</t>
  </si>
  <si>
    <t>47.1%</t>
  </si>
  <si>
    <t>31.6%</t>
  </si>
  <si>
    <t>$378</t>
  </si>
  <si>
    <t>1.76%</t>
  </si>
  <si>
    <t>45.2%</t>
  </si>
  <si>
    <t>100.0%</t>
  </si>
  <si>
    <t>$15</t>
  </si>
  <si>
    <t>1.54%</t>
  </si>
  <si>
    <t>12.5%</t>
  </si>
  <si>
    <t>V-天灾重建-长版</t>
  </si>
  <si>
    <t>28.6%</t>
  </si>
  <si>
    <t>$261</t>
  </si>
  <si>
    <t>0.96%</t>
  </si>
  <si>
    <t>6.7%</t>
  </si>
  <si>
    <t>13.3%</t>
  </si>
  <si>
    <t>$262</t>
  </si>
  <si>
    <t>1.16%</t>
  </si>
  <si>
    <t>12.0%</t>
  </si>
  <si>
    <t>📋4月6月内容相同 小样本; CPI较4月$3.77暴涨4x至$15.44, 关注</t>
  </si>
  <si>
    <t>34.0%</t>
  </si>
  <si>
    <t>18.9%</t>
  </si>
  <si>
    <t>11.3%</t>
  </si>
  <si>
    <t>$279</t>
  </si>
  <si>
    <t>2.61%</t>
  </si>
  <si>
    <t>1.72%</t>
  </si>
  <si>
    <t>23.5%</t>
  </si>
  <si>
    <t>V-帕基世界冒险</t>
  </si>
  <si>
    <t>探索/冒险, 模拟经营</t>
  </si>
  <si>
    <t>$97</t>
  </si>
  <si>
    <t>V-抓宠经营-售卖帕基</t>
  </si>
  <si>
    <t>22.6%</t>
  </si>
  <si>
    <t>19.4%</t>
  </si>
  <si>
    <t>3.2%</t>
  </si>
  <si>
    <t>$383</t>
  </si>
  <si>
    <t>1.23%</t>
  </si>
  <si>
    <t>23.9%</t>
  </si>
  <si>
    <t>V-收集升级</t>
  </si>
  <si>
    <t>$52</t>
  </si>
  <si>
    <t>1.41%</t>
  </si>
  <si>
    <t>23.1%</t>
  </si>
  <si>
    <t>V-模拟经营-七日建造</t>
  </si>
  <si>
    <t>$85</t>
  </si>
  <si>
    <t>1.63%</t>
  </si>
  <si>
    <t>14.0%</t>
  </si>
  <si>
    <t>V-模拟经营-帕基玩法寒霜</t>
  </si>
  <si>
    <t>模拟经营, 探索/冒险, 收集</t>
  </si>
  <si>
    <t>$193</t>
  </si>
  <si>
    <t>1.90%</t>
  </si>
  <si>
    <t>7.6%</t>
  </si>
  <si>
    <t>V-模拟经营-温馨</t>
  </si>
  <si>
    <t>模拟经营</t>
  </si>
  <si>
    <t>$101</t>
  </si>
  <si>
    <t>P-海啸</t>
  </si>
  <si>
    <t>天灾/生存</t>
  </si>
  <si>
    <t>28.1%</t>
  </si>
  <si>
    <t>$1407</t>
  </si>
  <si>
    <t>25.3%</t>
  </si>
  <si>
    <r>
      <t>📋4</t>
    </r>
    <r>
      <rPr>
        <sz val="10"/>
        <rFont val="宋体"/>
        <charset val="134"/>
      </rPr>
      <t>月</t>
    </r>
    <r>
      <rPr>
        <sz val="10"/>
        <rFont val="Arial"/>
        <charset val="134"/>
      </rPr>
      <t>6</t>
    </r>
    <r>
      <rPr>
        <sz val="10"/>
        <rFont val="宋体"/>
        <charset val="134"/>
      </rPr>
      <t>月内容相同</t>
    </r>
  </si>
  <si>
    <t>26.3%</t>
  </si>
  <si>
    <t>10.5%</t>
  </si>
  <si>
    <t>$1271</t>
  </si>
  <si>
    <t>1.46%</t>
  </si>
  <si>
    <t>13.5%</t>
  </si>
  <si>
    <t>24.4%</t>
  </si>
  <si>
    <t>4.4%</t>
  </si>
  <si>
    <t>$202</t>
  </si>
  <si>
    <t>2.75%</t>
  </si>
  <si>
    <t>20.3%</t>
  </si>
  <si>
    <t>37.9%</t>
  </si>
  <si>
    <t>25.9%</t>
  </si>
  <si>
    <t>17.2%</t>
  </si>
  <si>
    <t>$416</t>
  </si>
  <si>
    <t>2.05%</t>
  </si>
  <si>
    <t>P-抓宠经营-血腥</t>
  </si>
  <si>
    <t>经营/其他</t>
  </si>
  <si>
    <t>经营</t>
  </si>
  <si>
    <t>$42</t>
  </si>
  <si>
    <t>1.71%</t>
  </si>
  <si>
    <t>P-宠物展示-巨物</t>
  </si>
  <si>
    <t>宠物展示</t>
  </si>
  <si>
    <t>1.51%</t>
  </si>
  <si>
    <t>P-幻想宠物3</t>
  </si>
  <si>
    <t>宠物展示, 收集</t>
  </si>
  <si>
    <t>16.3%</t>
  </si>
  <si>
    <t>$205</t>
  </si>
  <si>
    <t>1.97%</t>
  </si>
  <si>
    <t>$51</t>
  </si>
  <si>
    <t>1.45%</t>
  </si>
  <si>
    <t>幻宠 9月测试素材推荐 — 按方向归类（June 6月为主，April 4月为辅）</t>
  </si>
  <si>
    <r>
      <t>筛选逻辑</t>
    </r>
    <r>
      <rPr>
        <sz val="9"/>
        <color rgb="FF555555"/>
        <rFont val="Arial"/>
        <charset val="134"/>
      </rPr>
      <t xml:space="preserve">: </t>
    </r>
    <r>
      <rPr>
        <sz val="9"/>
        <color rgb="FF555555"/>
        <rFont val="宋体"/>
        <charset val="134"/>
      </rPr>
      <t>方向内按</t>
    </r>
    <r>
      <rPr>
        <sz val="9"/>
        <color rgb="FF555555"/>
        <rFont val="Arial"/>
        <charset val="134"/>
      </rPr>
      <t xml:space="preserve"> 6</t>
    </r>
    <r>
      <rPr>
        <sz val="9"/>
        <color rgb="FF555555"/>
        <rFont val="宋体"/>
        <charset val="134"/>
      </rPr>
      <t>月数据排序</t>
    </r>
    <r>
      <rPr>
        <sz val="9"/>
        <color rgb="FF555555"/>
        <rFont val="Arial"/>
        <charset val="134"/>
      </rPr>
      <t>(CPI</t>
    </r>
    <r>
      <rPr>
        <sz val="9"/>
        <color rgb="FF555555"/>
        <rFont val="宋体"/>
        <charset val="134"/>
      </rPr>
      <t>低</t>
    </r>
    <r>
      <rPr>
        <sz val="9"/>
        <color rgb="FF555555"/>
        <rFont val="Arial"/>
        <charset val="134"/>
      </rPr>
      <t>+R1</t>
    </r>
    <r>
      <rPr>
        <sz val="9"/>
        <color rgb="FF555555"/>
        <rFont val="宋体"/>
        <charset val="134"/>
      </rPr>
      <t>高</t>
    </r>
    <r>
      <rPr>
        <sz val="9"/>
        <color rgb="FF555555"/>
        <rFont val="Arial"/>
        <charset val="134"/>
      </rPr>
      <t>+R3</t>
    </r>
    <r>
      <rPr>
        <sz val="9"/>
        <color rgb="FF555555"/>
        <rFont val="宋体"/>
        <charset val="134"/>
      </rPr>
      <t>高</t>
    </r>
    <r>
      <rPr>
        <sz val="9"/>
        <color rgb="FF555555"/>
        <rFont val="Arial"/>
        <charset val="134"/>
      </rPr>
      <t>) → 4</t>
    </r>
    <r>
      <rPr>
        <sz val="9"/>
        <color rgb="FF555555"/>
        <rFont val="宋体"/>
        <charset val="134"/>
      </rPr>
      <t>月参照</t>
    </r>
    <r>
      <rPr>
        <sz val="9"/>
        <color rgb="FF555555"/>
        <rFont val="Arial"/>
        <charset val="134"/>
      </rPr>
      <t xml:space="preserve"> → </t>
    </r>
    <r>
      <rPr>
        <sz val="9"/>
        <color rgb="FF555555"/>
        <rFont val="宋体"/>
        <charset val="134"/>
      </rPr>
      <t>方向内择优推荐。核心方向</t>
    </r>
    <r>
      <rPr>
        <sz val="9"/>
        <color rgb="FF555555"/>
        <rFont val="Arial"/>
        <charset val="134"/>
      </rPr>
      <t>(</t>
    </r>
    <r>
      <rPr>
        <sz val="9"/>
        <color rgb="FF555555"/>
        <rFont val="宋体"/>
        <charset val="134"/>
      </rPr>
      <t>捉宠</t>
    </r>
    <r>
      <rPr>
        <sz val="9"/>
        <color rgb="FF555555"/>
        <rFont val="Arial"/>
        <charset val="134"/>
      </rPr>
      <t>/</t>
    </r>
    <r>
      <rPr>
        <sz val="9"/>
        <color rgb="FF555555"/>
        <rFont val="宋体"/>
        <charset val="134"/>
      </rPr>
      <t>融合</t>
    </r>
    <r>
      <rPr>
        <sz val="9"/>
        <color rgb="FF555555"/>
        <rFont val="Arial"/>
        <charset val="134"/>
      </rPr>
      <t>/</t>
    </r>
    <r>
      <rPr>
        <sz val="9"/>
        <color rgb="FF555555"/>
        <rFont val="宋体"/>
        <charset val="134"/>
      </rPr>
      <t>进化</t>
    </r>
    <r>
      <rPr>
        <sz val="9"/>
        <color rgb="FF555555"/>
        <rFont val="Arial"/>
        <charset val="134"/>
      </rPr>
      <t>)</t>
    </r>
    <r>
      <rPr>
        <sz val="9"/>
        <color rgb="FF555555"/>
        <rFont val="宋体"/>
        <charset val="134"/>
      </rPr>
      <t>放宽准入，非核心方向更严。绿色</t>
    </r>
    <r>
      <rPr>
        <sz val="9"/>
        <color rgb="FF555555"/>
        <rFont val="Arial"/>
        <charset val="134"/>
      </rPr>
      <t>=</t>
    </r>
    <r>
      <rPr>
        <sz val="9"/>
        <color rgb="FF555555"/>
        <rFont val="宋体"/>
        <charset val="134"/>
      </rPr>
      <t>强烈推荐</t>
    </r>
    <r>
      <rPr>
        <sz val="9"/>
        <color rgb="FF555555"/>
        <rFont val="Arial"/>
        <charset val="134"/>
      </rPr>
      <t xml:space="preserve"> </t>
    </r>
    <r>
      <rPr>
        <sz val="9"/>
        <color rgb="FF555555"/>
        <rFont val="宋体"/>
        <charset val="134"/>
      </rPr>
      <t>黄色</t>
    </r>
    <r>
      <rPr>
        <sz val="9"/>
        <color rgb="FF555555"/>
        <rFont val="Arial"/>
        <charset val="134"/>
      </rPr>
      <t>=</t>
    </r>
    <r>
      <rPr>
        <sz val="9"/>
        <color rgb="FF555555"/>
        <rFont val="宋体"/>
        <charset val="134"/>
      </rPr>
      <t>可选</t>
    </r>
    <r>
      <rPr>
        <sz val="9"/>
        <color rgb="FF555555"/>
        <rFont val="Arial"/>
        <charset val="134"/>
      </rPr>
      <t xml:space="preserve"> </t>
    </r>
    <r>
      <rPr>
        <sz val="9"/>
        <color rgb="FF555555"/>
        <rFont val="宋体"/>
        <charset val="134"/>
      </rPr>
      <t>红色</t>
    </r>
    <r>
      <rPr>
        <sz val="9"/>
        <color rgb="FF555555"/>
        <rFont val="Arial"/>
        <charset val="134"/>
      </rPr>
      <t>=</t>
    </r>
    <r>
      <rPr>
        <sz val="9"/>
        <color rgb="FF555555"/>
        <rFont val="宋体"/>
        <charset val="134"/>
      </rPr>
      <t>不推荐</t>
    </r>
    <r>
      <rPr>
        <sz val="9"/>
        <color rgb="FF555555"/>
        <rFont val="Arial"/>
        <charset val="134"/>
      </rPr>
      <t xml:space="preserve"> </t>
    </r>
    <r>
      <rPr>
        <sz val="9"/>
        <color rgb="FF555555"/>
        <rFont val="宋体"/>
        <charset val="134"/>
      </rPr>
      <t>灰色</t>
    </r>
    <r>
      <rPr>
        <sz val="9"/>
        <color rgb="FF555555"/>
        <rFont val="Arial"/>
        <charset val="134"/>
      </rPr>
      <t>=</t>
    </r>
    <r>
      <rPr>
        <sz val="9"/>
        <color rgb="FF555555"/>
        <rFont val="宋体"/>
        <charset val="134"/>
      </rPr>
      <t>重复素材</t>
    </r>
  </si>
  <si>
    <t>▌捉宠（核心方向）（16个素材-出价组合）</t>
  </si>
  <si>
    <t>序号</t>
  </si>
  <si>
    <t>优先级</t>
  </si>
  <si>
    <t>出价</t>
  </si>
  <si>
    <t>CVR(参考)</t>
  </si>
  <si>
    <t>花费</t>
  </si>
  <si>
    <t>推荐理由</t>
  </si>
  <si>
    <t>🥈 可选</t>
  </si>
  <si>
    <t>V-抓宠经营-捕捞竞品</t>
  </si>
  <si>
    <t>CPI极低($3.89); R1=19%偏低; R3=7%一般</t>
  </si>
  <si>
    <t>V-抓宠经营-虐待</t>
  </si>
  <si>
    <t>CPI极低($3.98); R1=50%达标(≥35%); R3=0%偏低; ⚠DNU&lt;10样本太小</t>
  </si>
  <si>
    <t>🥇 强烈推荐</t>
  </si>
  <si>
    <t>P-抓宠经营-超梦</t>
  </si>
  <si>
    <t>CPI极低($4.74); R1=28%尚可; R3=10%达标(≥10%)</t>
  </si>
  <si>
    <t>V-抓宠战斗</t>
  </si>
  <si>
    <t>5.2%</t>
  </si>
  <si>
    <t>$0.00</t>
  </si>
  <si>
    <t>CPI极低($4.98); R1=21%偏低; R3=6%偏低; 📋4月/6月内容相同</t>
  </si>
  <si>
    <t>🥉 待观察</t>
  </si>
  <si>
    <t>V-帕萌战斗-合成狙击</t>
  </si>
  <si>
    <t>CPI较低($6.24); R1=0%偏低; R3=25%达标(≥10%); ⚠DNU&lt;10样本太小</t>
  </si>
  <si>
    <t>P-抓宠经营-虐待</t>
  </si>
  <si>
    <t>CPI适中($7.52); R1=36%达标(≥35%); R3=0%偏低; ⚠DNU=14需扩大验证</t>
  </si>
  <si>
    <t>CPI适中($8.42); R1=35%达标(≥35%); R3=13%达标(≥10%); 📋4月/6月内容相同</t>
  </si>
  <si>
    <t>❌ 不推荐</t>
  </si>
  <si>
    <t>V-高效抓宠</t>
  </si>
  <si>
    <t>CPI适中($8.54); R1=25%尚可; R3=0%偏低; ⚠DNU&lt;10样本太小; 📋4月/6月内容相同</t>
  </si>
  <si>
    <t>P-抓宠经营-幽飘</t>
  </si>
  <si>
    <t>V-核心玩法</t>
  </si>
  <si>
    <t>CPI偏高($9.59); R1=25%尚可; R3=0%偏低; ⚠DNU&lt;10样本太小; 📋4月/6月内容相同</t>
  </si>
  <si>
    <t>CPI偏高($10.80); R1=67%达标(≥35%); R3=33%达标(≥10%); ⚠DNU&lt;10样本太小; 📋4月/6月内容相同</t>
  </si>
  <si>
    <r>
      <t>▌</t>
    </r>
    <r>
      <rPr>
        <b/>
        <sz val="13"/>
        <color rgb="FF1F4E79"/>
        <rFont val="宋体"/>
        <charset val="134"/>
      </rPr>
      <t>宠物融合</t>
    </r>
    <r>
      <rPr>
        <b/>
        <sz val="13"/>
        <color rgb="FF1F4E79"/>
        <rFont val="Arial"/>
        <charset val="134"/>
      </rPr>
      <t>/</t>
    </r>
    <r>
      <rPr>
        <b/>
        <sz val="13"/>
        <color rgb="FF1F4E79"/>
        <rFont val="宋体"/>
        <charset val="134"/>
      </rPr>
      <t>合成（核心方向）（</t>
    </r>
    <r>
      <rPr>
        <b/>
        <sz val="13"/>
        <color rgb="FF1F4E79"/>
        <rFont val="Arial"/>
        <charset val="134"/>
      </rPr>
      <t>2</t>
    </r>
    <r>
      <rPr>
        <b/>
        <sz val="13"/>
        <color rgb="FF1F4E79"/>
        <rFont val="宋体"/>
        <charset val="134"/>
      </rPr>
      <t>个素材</t>
    </r>
    <r>
      <rPr>
        <b/>
        <sz val="13"/>
        <color rgb="FF1F4E79"/>
        <rFont val="Arial"/>
        <charset val="134"/>
      </rPr>
      <t>-</t>
    </r>
    <r>
      <rPr>
        <b/>
        <sz val="13"/>
        <color rgb="FF1F4E79"/>
        <rFont val="宋体"/>
        <charset val="134"/>
      </rPr>
      <t>出价组合）</t>
    </r>
  </si>
  <si>
    <t>CPI极低($4.36); R1=28%尚可; R3=10%达标(≥10%)</t>
  </si>
  <si>
    <t>V-宠物展示-宠物合成</t>
  </si>
  <si>
    <t>CPI较低($6.88); R1=27%尚可; R3=15%达标(≥10%)</t>
  </si>
  <si>
    <t>▌宠物进化（核心方向）（3个素材-出价组合）</t>
  </si>
  <si>
    <t>P-宠物展示-二阶进化</t>
  </si>
  <si>
    <t>CPI极低($3.68); R1=33%尚可; R3=7%一般; ⚠DNU=27需扩大验证</t>
  </si>
  <si>
    <t>P-宠物展示-合成 3D</t>
  </si>
  <si>
    <t>CPI较低($5.49); R1=17%偏低; R3=33%达标(≥10%); ⚠DNU&lt;10样本太小</t>
  </si>
  <si>
    <t>▌战斗（帕萌战斗/抓宠战斗）（20个素材-出价组合）</t>
  </si>
  <si>
    <t>CPI较低($6.93); R1=14%偏低; R3=14%达标(≥10%); ⚠DNU&lt;10样本太小</t>
  </si>
  <si>
    <t>CPI适中($7.48); R1=32%尚可; R3=10%一般</t>
  </si>
  <si>
    <t>CPI适中($8.21); R1=53%达标(≥35%); R3=6%偏低; ⚠DNU=17需扩大验证</t>
  </si>
  <si>
    <t>CPI偏高($9.01); R1=36%达标(≥35%); R3=9%一般; ⚠DNU=11需扩大验证</t>
  </si>
  <si>
    <t>CPI偏高($11.00); R1=22%偏低; R3=6%偏低</t>
  </si>
  <si>
    <t>CPI偏高($15.52); R1=40%达标(≥35%); R3=0%偏低; ⚠DNU&lt;10样本太小</t>
  </si>
  <si>
    <t>CPI偏高($18.76); R1=25%尚可; R3=0%偏低; ⚠DNU&lt;10样本太小</t>
  </si>
  <si>
    <t>CPI偏高($23.13); R1=0%偏低; R3=0%偏低; ⚠DNU&lt;10样本太小</t>
  </si>
  <si>
    <t>▌模拟经营/建造（20个素材-出价组合）</t>
  </si>
  <si>
    <t>V-场景展示</t>
  </si>
  <si>
    <t>CPI较低($5.60); R1=17%偏低; R3=8%一般; ⚠DNU=24需扩大验证; 📋4月/6月内容相同</t>
  </si>
  <si>
    <t>CPI适中($8.15); R1=29%尚可; R3=10%一般; ⚠DNU=21需扩大验证; 📋4月/6月内容相同</t>
  </si>
  <si>
    <t>CPI适中($8.40); R1=33%尚可; R3=0%偏低; ⚠DNU&lt;10样本太小</t>
  </si>
  <si>
    <t>CPI适中($8.89); R1=50%达标(≥35%); R3=17%达标(≥10%); ⚠DNU=12需扩大验证; 📋4月/6月内容相同</t>
  </si>
  <si>
    <t>CPI适中($8.91); R1=23%偏低; R3=3%偏低</t>
  </si>
  <si>
    <t>CPI偏高($10.40); R1=18%偏低; R3=4%偏低</t>
  </si>
  <si>
    <t>CPI偏高($14.12); R1=0%偏低; R3=14%达标(≥10%); ⚠DNU&lt;10样本太小</t>
  </si>
  <si>
    <t>CPI偏高($14.24); R1=33%尚可; R3=0%偏低; ⚠DNU&lt;10样本太小</t>
  </si>
  <si>
    <t>CPI偏高($15.44); R1=27%尚可; R3=13%达标(≥10%); ⚠DNU=15需扩大验证; 📋4月/6月内容相同</t>
  </si>
  <si>
    <t>CPI偏高($19.27); R1=36%达标(≥35%); R3=18%达标(≥10%); ⚠DNU=11需扩大验证</t>
  </si>
  <si>
    <t>CPI极低($4.13); R1=44%达标(≥35%); R3=33%达标(≥10%); ⚠仅4月数据,需6月环境重验; ⚠DNU&lt;10样本太小</t>
  </si>
  <si>
    <t>CPI较低($5.41); R1=10%偏低; R3=0%偏低; ⚠仅4月数据,需6月环境重验; ⚠DNU=10需扩大验证</t>
  </si>
  <si>
    <t>CPI适中($8.60); R1=14%偏低; R3=0%偏低; ⚠仅4月数据,需6月环境重验; ⚠DNU&lt;10样本太小</t>
  </si>
  <si>
    <t>▌宠物展示（9个素材-出价组合）</t>
  </si>
  <si>
    <t>CPI偏高($11.14); R1=40%达标(≥35%); R3=0%偏低; ⚠DNU&lt;10样本太小</t>
  </si>
  <si>
    <t>CPI极低($3.80); R1=16%偏低; R3=7%偏低; ⚠仅4月数据,需6月环境重验</t>
  </si>
  <si>
    <t>CPI较低($5.66); R1=17%偏低; R3=17%达标(≥10%); ⚠仅4月数据,需6月环境重验; ⚠DNU&lt;10样本太小</t>
  </si>
  <si>
    <t>▌探索/冒险/收集（16个素材-出价组合）</t>
  </si>
  <si>
    <t>CPI适中($8.60); R1=32%尚可; R3=18%达标(≥10%)</t>
  </si>
  <si>
    <t>▌天灾/生存（4个素材-出价组合）</t>
  </si>
  <si>
    <t>CPI适中($8.38); R1=28%尚可; R3=12%达标(≥10%); 📋4月/6月内容相同</t>
  </si>
  <si>
    <t>CPI适中($8.70); R1=26%尚可; R3=11%达标(≥10%); 📋4月/6月内容相同</t>
  </si>
  <si>
    <t>9月测试素材推荐 — 方向级汇总</t>
  </si>
  <si>
    <t>方向</t>
  </si>
  <si>
    <t>总素材数</t>
  </si>
  <si>
    <t>强烈推荐</t>
  </si>
  <si>
    <t>可选</t>
  </si>
  <si>
    <t>不推荐</t>
  </si>
  <si>
    <t>核心结论</t>
  </si>
  <si>
    <t>素材池(推荐)</t>
  </si>
  <si>
    <t>建议预算占比</t>
  </si>
  <si>
    <t>捉宠（核心方向）</t>
  </si>
  <si>
    <t>捉宠方向是素材储备最充足的核心方向。V-抓宠战斗AEO是唯一双月R1≥35%的底牌级素材。P-抓宠经营-幽飘R3=18.2%为方向内最佳长留。V-高效抓宠4月R1=37.5%+R3=21.9%但6月缺数据需重验。优先保AEO版抓宠战斗+幽飘，高效抓宠小预算验证。</t>
  </si>
  <si>
    <t>V-抓宠经营-捕捞竞品(Install,CPI$3.89,R1=19%)
P-抓宠经营-超梦(Install,CPI$4.74,R1=28%)
V-抓宠战斗(Install,CPI$4.98,R1=21%)</t>
  </si>
  <si>
    <t>30-40%</t>
  </si>
  <si>
    <t>宠物融合/合成（核心方向）</t>
  </si>
  <si>
    <t>融合方向以P-宠物展示-合成3D(CPI=$4.36全场最低+DNU=232最可靠)和V-宠物展示-宠物合成(R3=14.6%大样本最高)双素材组合，覆盖图片+视频。素材数量仅3个但质量高。9月主推合成3D(跑量)+宠物合成(测留存)。</t>
  </si>
  <si>
    <t>P-宠物展示-合成 3D(Install,CPI$4.36,R1=28%)
V-宠物展示-宠物合成(Install,CPI$6.88,R1=27%)</t>
  </si>
  <si>
    <t>宠物进化（核心方向）</t>
  </si>
  <si>
    <t>进化方向仅P-宠物展示-二阶进化1个素材(CPI=$3.68最低, R1=33.3%接近达标, DNU=27差3个)。素材储备严重不足。Task 2新素材脚本需重点补进化方向。二阶进化优先重测但需观察R3=7.4%在扩量后是否恶化。</t>
  </si>
  <si>
    <t>P-宠物展示-二阶进化(Install,CPI$3.68,R1=33%)
P-宠物展示-合成 3D(Install,CPI$4.36,R1=28%)
V-宠物展示-二阶合成(Install,CPI$5.49,R1=17%)</t>
  </si>
  <si>
    <t>战斗（帕萌战斗/抓宠战斗）</t>
  </si>
  <si>
    <t/>
  </si>
  <si>
    <t>V-抓宠战斗(Install,CPI$4.98,R1=21%)
P-宠物展示-帕基战斗(Install,CPI$6.93,R1=14%)
V-帕萌战斗-雪地竞品(Install,CPI$7.48,R1=32%)</t>
  </si>
  <si>
    <t>5-15%</t>
  </si>
  <si>
    <t>模拟经营方向素材多(15个)但CPI普遍高。P-灾后重建(R1=44%+R3=33%+CPI=$4.13三冠王,仅4月DNU=9)是最大黑马。帕基玩法寒霜(R1=36%+R3=18%)留存好但CPI=$19.27不可接受,方向有效但需重做素材降CPI。其余模拟经营CPI全部&gt;$8,不推荐。</t>
  </si>
  <si>
    <t>V-抓宠经营-捕捞竞品(Install,CPI$3.89,R1=19%)
V-场景展示(Install,CPI$5.60,R1=17%)
V-天灾重建-长版(AEO,CPI$8.15,R1=29%)</t>
  </si>
  <si>
    <t>宠物展示多为辅标签(与其他方向交叉)。独立宠物展示素材如P-宠物展示-巨物(R1=40%但DNU=5)数据不足。P-幻想宠物3(4月仅DNU=43+6,R1=16%)不推荐。</t>
  </si>
  <si>
    <t>探索/冒险/收集</t>
  </si>
  <si>
    <t>无独立强数据素材。V-帕基世界冒险(CPI=$5.41,R1=10%)不推荐。探索/收集多为辅标签。</t>
  </si>
  <si>
    <t>V-天灾重建-长版(AEO,CPI$8.15,R1=29%)
P-抓宠经营-幽飘(Install,CPI$8.60,R1=32%)
P-模拟经营-建造成长(Install,CPI$14.24,R1=33%)</t>
  </si>
  <si>
    <t>P-海啸双月数据完整但非核心方向。4月AEO R1=37.9%曾达标,6月全面退化(R1=28%,CPI=$8.38)。Install版R1常年不达标。预算有限情况下放弃。</t>
  </si>
  <si>
    <t>P-海啸(AEO,CPI$8.38,R1=28%)
P-海啸(Install,CPI$8.70,R1=26%)</t>
  </si>
  <si>
    <t>▌9月测试最终推荐（按方向汇总后的结论）</t>
  </si>
  <si>
    <t>【捉宠方向 - 主推】V-抓宠战斗AEO(双月R1≥35%底牌)+ P-抓宠经营-幽飘Install(R3=18.2%长留王)+ V-高效抓宠Install(4月三项全能,需6月重验)+ P-抓宠经营-超梦Install(CPI=$4.74均衡基底)。共4个素材组。</t>
  </si>
  <si>
    <t>【融合方向 - 主推】P-宠物展示-合成3D Install(CPI=$4.36跑量主力)+ V-宠物展示-宠物合成Install(R3=14.6%大样本最高)。双素材覆盖图片+视频。共2个素材组。</t>
  </si>
  <si>
    <t>【进化方向 - 补强】P-宠物展示-二阶进化Install(CPI=$3.68最低,R1=33.3%)。唯一素材,小预算验证后决定是否加量。Task 2新素材优先补进化。</t>
  </si>
  <si>
    <t>【辅推 - 黑马观察】P-灾后重建Install(R1=44%+R3=33%三冠王,需6月重验)+ V-帕萌战斗-群殴打鸡Install(R1=52.9%天花板,关注R3暴跌原因)。各小预算验证。</t>
  </si>
  <si>
    <t>【明确放弃】海啸(CPI无优势+6月退化)、模拟经营除灾后重建外全部(CPI普遍&gt;$10)、帕萌战斗-杀宠复刻(CPI=$11+R1=21.5%)。</t>
  </si>
  <si>
    <t>【预算分配】捉宠40%+融合30%+进化10%+辅推/机动20%。总计$40-50K。机动预算$5-8K留给Task 2竞品素材脚本。</t>
  </si>
  <si>
    <t>【P:V比例】维持现有比例(图片14:视频28≈1:2)。图片CPI优势显著(双月低$0.5-1.9),但视频覆盖更多方向。不做人为调整。</t>
  </si>
  <si>
    <t>幻宠 9月测试 — 素材推荐 v2（扩增版：更多核心方向素材 + 更宽松的准入）</t>
  </si>
  <si>
    <t>测试：9月初 | 预算：$40-50K | 量级：~5K | 优化目标：Purchase(付费) | 策略：Install/AEO先跑3-5天筛选(看CPI+R1+R3) → 优胜者进Purchase Camp测3日付费 | 核心方向：捉宠/融合/进化</t>
  </si>
  <si>
    <t>Tier 1 — 必测素材（核心方向 + 数据有说服力 + 样本充足或接近充足）</t>
  </si>
  <si>
    <t>验证月份</t>
  </si>
  <si>
    <t>4月CPI</t>
  </si>
  <si>
    <t>4月R1→6月R1</t>
  </si>
  <si>
    <t>建议动作</t>
  </si>
  <si>
    <t>建议预算(USD)</t>
  </si>
  <si>
    <t>1 🥇</t>
  </si>
  <si>
    <t>4+6月双月可靠</t>
  </si>
  <si>
    <t>$8.42</t>
  </si>
  <si>
    <t>$31.51</t>
  </si>
  <si>
    <t>$5.45</t>
  </si>
  <si>
    <t>38.6% → 35.1%(持平)</t>
  </si>
  <si>
    <t>[捉宠方向标杆] 双月R1均≥35%唯一素材，R3稳定12-13%。6月DNU=77样本充足。CPI从$5.45涨至$8.42但仍低于6月AEO均值。唯一双月留存都达KPI的核心素材。9月最确定的底牌。</t>
  </si>
  <si>
    <t>直接进Purchase Camp(主力)，同时跑Install保量。单独Campaign日预算$400+。</t>
  </si>
  <si>
    <t>$10,000-12,000</t>
  </si>
  <si>
    <t>2 🥈</t>
  </si>
  <si>
    <t>6月(大样本)</t>
  </si>
  <si>
    <t>$4.36</t>
  </si>
  <si>
    <t>$19.96</t>
  </si>
  <si>
    <t>— (6月新增)</t>
  </si>
  <si>
    <t>[融合方向标杆+量王] 全场最高DNU=232数据最可靠。CPI=$4.36全场最低(6月Install均值$7.33)，性价比第一。R1=27.6%虽未达35%但次留成本仅$19.96性价比极高。跑量首选。</t>
  </si>
  <si>
    <t>必进Purchase Camp(量大便宜)，做主力量素材日预算$500+。</t>
  </si>
  <si>
    <t>3 🥉</t>
  </si>
  <si>
    <t>6月(DNU=44)</t>
  </si>
  <si>
    <t>$8.60</t>
  </si>
  <si>
    <t>$33.79</t>
  </si>
  <si>
    <t>[捉宠方向R3冠军] R3=18.2%为6月大样本中最高，R2=20.5%→R3=18.2%衰减仅2.3%全场最佳。R1=31.8%接近目标线。CPI=$8.60略高于均值但留存溢价完全覆盖。</t>
  </si>
  <si>
    <t>单独Ad Set跑Install观察R3能否维持，达标后进Purchase。</t>
  </si>
  <si>
    <t>$3,000-4,000</t>
  </si>
  <si>
    <t>4</t>
  </si>
  <si>
    <t>6月(DNU=27)</t>
  </si>
  <si>
    <t>$3.68</t>
  </si>
  <si>
    <t>$11.85</t>
  </si>
  <si>
    <t>[进化方向唯一选手+CPI冠军] 全场最低CPI=$3.68+次留成本$11.85双料最低。R1=33.3%仅差1.7%达35%。DNU=27差3个达标。R3=7.4%是短板但CPI够低可容忍。进化方向必须保。</t>
  </si>
  <si>
    <t>加$300跑足DNU≥50验证R3稳定性。CPU低值得赌。</t>
  </si>
  <si>
    <t>$1,500-2,500</t>
  </si>
  <si>
    <t>5</t>
  </si>
  <si>
    <t>$4.98</t>
  </si>
  <si>
    <t>$26.47</t>
  </si>
  <si>
    <t>$3.51</t>
  </si>
  <si>
    <t>26.7% → 20.8%(下滑)</t>
  </si>
  <si>
    <t>[捉宠Install版] CPI出色($3.51→$4.98)，远低于6月Install均值$7.33。R1虽下滑至20.8%但CPI优势显著。配合AEO版跑双出价互补。R1下滑可能是素材老化或竞争加剧，需关注。</t>
  </si>
  <si>
    <t>与AEO版同Campaign跑Install出价保量。</t>
  </si>
  <si>
    <t>与#1合并预算</t>
  </si>
  <si>
    <t>6</t>
  </si>
  <si>
    <t>4月(可靠),6月缺</t>
  </si>
  <si>
    <t>$3.52</t>
  </si>
  <si>
    <t>$12.65</t>
  </si>
  <si>
    <t>— (6月DNU=3)</t>
  </si>
  <si>
    <t>40.7% → 66.7%(6月DNU=3噪音)</t>
  </si>
  <si>
    <t>[捉宠相关,4月黑马] 4月R1=40.7%+CPI=$3.52+DNU=54非常扎实。R3=7.4%偏低但次留成本仅$12.65极低。6月仅DNU=3无数据。核心捉宠方向相关(展示核心玩法)，4月表现强必须重验。</t>
  </si>
  <si>
    <t>重新制作素材(防老化)，单独Campaign跑Install目标DNU≥50。</t>
  </si>
  <si>
    <t>$2,000-3,000</t>
  </si>
  <si>
    <t>7</t>
  </si>
  <si>
    <t>$5.68</t>
  </si>
  <si>
    <t>$18.44</t>
  </si>
  <si>
    <t>— (6月DNU=4)</t>
  </si>
  <si>
    <t>37.5% → 25.0%(6月仅4样本)</t>
  </si>
  <si>
    <t>[捉宠方向隐藏宝石] 4月R1=37.5%+R3=21.9%+CPI=$5.68+均优秀。R3=21.9%为全场第二高(仅次于灾后重建)。6月仅DNU=4几乎无数据。核心方向+4月三好生必须重验。</t>
  </si>
  <si>
    <t>重新制作素材(避免老化)，单独Campaign跑Install目标DNU≥50。</t>
  </si>
  <si>
    <t>8</t>
  </si>
  <si>
    <t>6月(DNU=60)</t>
  </si>
  <si>
    <t>$4.74</t>
  </si>
  <si>
    <t>$22.02</t>
  </si>
  <si>
    <t>[捉宠方向稳健基底] CPI=$4.74+DNU=60+无短板。R1+R3都达标。适合做捉宠方向跑量的基座素材。不惊艳但稳定可预测。</t>
  </si>
  <si>
    <t>捉宠方向基底素材保量，不主推但跑量。</t>
  </si>
  <si>
    <t>9</t>
  </si>
  <si>
    <t>6月(DNU=96)</t>
  </si>
  <si>
    <t>$6.88</t>
  </si>
  <si>
    <t>$37.56</t>
  </si>
  <si>
    <t>[融合方向R3+中段留存双冠] R3=14.6%大样本最高,R2=24.0%全场最强。CPI=$6.88低于6月Install均值。DNU=96充分可信。与合成3D搭配覆盖图片+视频双形式。</t>
  </si>
  <si>
    <t>与合成3D搭配测试覆盖不同素材形式，日预算$200+。</t>
  </si>
  <si>
    <t>$4,000-5,000</t>
  </si>
  <si>
    <t>Tier 2 — 强烈推荐（核心方向 + 数据好但样本需补 / 非核心但数据突出）</t>
  </si>
  <si>
    <t>10</t>
  </si>
  <si>
    <t>6月(DNU=54)</t>
  </si>
  <si>
    <t>$3.89</t>
  </si>
  <si>
    <t>$27.24</t>
  </si>
  <si>
    <t>CPI=$3.89极低(6月Install第二低)，跑量能力突出。DNU=54样本充足。R1=18.5%偏低但CPI优势足够大，适合做低CPI跑量补充。竞品对标素材也有市场参考价值。</t>
  </si>
  <si>
    <t>捉宠方向低CPI跑量补充，作为基底素材之一。</t>
  </si>
  <si>
    <t>$1,500-2,000</t>
  </si>
  <si>
    <t>11</t>
  </si>
  <si>
    <t>灾后重建</t>
  </si>
  <si>
    <t>4月(仅,DNU=9)</t>
  </si>
  <si>
    <t>$4.13</t>
  </si>
  <si>
    <t>$15.48</t>
  </si>
  <si>
    <t>— (6月未测)</t>
  </si>
  <si>
    <t>R1=44%+R3=33%+CPI=$4.13三冠王。4月综合评价全场第一。但仅9个DNU+6月未测。非核心方向(灾后/建造)但数据太强不能忽略。</t>
  </si>
  <si>
    <t>小预算验证6月环境能否复现，目标DNU≥30。</t>
  </si>
  <si>
    <t>$800-1,500</t>
  </si>
  <si>
    <t>12</t>
  </si>
  <si>
    <t>场景展示</t>
  </si>
  <si>
    <t>6月(4月为辅)</t>
  </si>
  <si>
    <t>$8.89</t>
  </si>
  <si>
    <t>$23.71</t>
  </si>
  <si>
    <t>$15.44(DNU=1)</t>
  </si>
  <si>
    <t>100%(噪音) → 50.0%</t>
  </si>
  <si>
    <t>AEO版R1=50%+R3=16.7%留存极佳，但DNU仅12需大样本验证。Install版4月DNU=76验证过R1=31.6%+R3=13.2%。AEO版可能是潜力股。非核心方向但数据质量高。</t>
  </si>
  <si>
    <t>AEO+Install双出价测试。参考4月Install成功经验。</t>
  </si>
  <si>
    <t>13</t>
  </si>
  <si>
    <t>6月(DNU=6)</t>
  </si>
  <si>
    <t>$5.49</t>
  </si>
  <si>
    <t>$32.92</t>
  </si>
  <si>
    <t>R3=33.3%异常高(R1→R2→R3 = 16.7%→0%→33.3%，可能是统计波动或真有长尾价值)。CPI=$5.49低。核心融合方向+低CPI值得花小钱赌R3能否复现。</t>
  </si>
  <si>
    <t>极小预算$100-200验证R3异常是否复现。不报太大期望。</t>
  </si>
  <si>
    <t>$200-500</t>
  </si>
  <si>
    <t>Tier 3 — 值得辅测（数据有趣但不确定性大 / 竞品对标 / 黑马）</t>
  </si>
  <si>
    <t>14</t>
  </si>
  <si>
    <t>帕萌战斗</t>
  </si>
  <si>
    <t>6月(DNU=17)</t>
  </si>
  <si>
    <t>$8.21</t>
  </si>
  <si>
    <t>$12.77</t>
  </si>
  <si>
    <t>R1=52.9%全场最高！R2=29.4%也很强。但R3断崖式下跌至5.9%(-23.5%衰减)说明用户次日很喜欢但第三天大量流失。疑似素材误导或产品问题。需观察R3是否可修复。非核心方向。</t>
  </si>
  <si>
    <t>加预算跑DNU≥50观察R3暴跌是否持续。</t>
  </si>
  <si>
    <t>$1,000-1,500</t>
  </si>
  <si>
    <t>15</t>
  </si>
  <si>
    <t>6月(DNU=41)</t>
  </si>
  <si>
    <t>$7.48</t>
  </si>
  <si>
    <t>$21.28</t>
  </si>
  <si>
    <t>R1=31.7%不错+CPI=$7.48可接受+DNU=41可信。竞品对标素材(雪地竞品)，对市场定位有参考价值。非核心方向整体均衡。</t>
  </si>
  <si>
    <t>小额测试观察能否复现R1&gt;30%。</t>
  </si>
  <si>
    <t>$500-1,000</t>
  </si>
  <si>
    <t>16</t>
  </si>
  <si>
    <t>6月(DNU=11)</t>
  </si>
  <si>
    <t>$9.01</t>
  </si>
  <si>
    <t>$38.31</t>
  </si>
  <si>
    <t>R1=36.4%是6月为数不多R1&gt;35%的素材。R2→R3平稳(9.1%→9.1%)无衰减问题。CPI=$9.01偏高+仅11个DNU需扩大验证。非核心方向。</t>
  </si>
  <si>
    <t>小预算跑DNU≥30验证R1能否维持。</t>
  </si>
  <si>
    <t>$500-800</t>
  </si>
  <si>
    <t>17</t>
  </si>
  <si>
    <t>抓宠经营</t>
  </si>
  <si>
    <t>6月(DNU=4)</t>
  </si>
  <si>
    <t>$3.98</t>
  </si>
  <si>
    <t>$9.95</t>
  </si>
  <si>
    <t>CPI=$3.98极低+R1=50%看起来很香但DNU仅4。R3=0%可能因样本太小。捉宠经营方向但"虐待"主题可能偏离品牌调性。不作为正式推荐但跑Tier 1时可随手搭一个Ad Set。</t>
  </si>
  <si>
    <t>搭便车测(搭在Tier 1 Campaign里)，不单独预算。</t>
  </si>
  <si>
    <t>$100-200</t>
  </si>
  <si>
    <t>18</t>
  </si>
  <si>
    <t>4月(DNU=10)</t>
  </si>
  <si>
    <t>$5.41</t>
  </si>
  <si>
    <t>$97.41</t>
  </si>
  <si>
    <t>CPI=$5.41在4月属中上水平。R1仅10%很低但R2=20%(R1→R2不降反升说明R1跟踪可能有问题)。6月未测。捉宠方向+CPI还行+数据诡异值得花小钱澄清。</t>
  </si>
  <si>
    <t>极小预算验证数据异常是否为跟踪问题。</t>
  </si>
  <si>
    <t>$200-300</t>
  </si>
  <si>
    <t>Tier 4 — 不推荐 / 明确放弃</t>
  </si>
  <si>
    <t>CPI</t>
  </si>
  <si>
    <t>核心问题</t>
  </si>
  <si>
    <t>P-海啸(AEO)</t>
  </si>
  <si>
    <t>4+6月</t>
  </si>
  <si>
    <t>$8.38</t>
  </si>
  <si>
    <t>$1,407</t>
  </si>
  <si>
    <t>非核心。CPI无优势。R1从38%跌至28%不达标。AEO里CPI最高。</t>
  </si>
  <si>
    <t>P-海啸(Install)</t>
  </si>
  <si>
    <t>$8.70</t>
  </si>
  <si>
    <t>$1,271</t>
  </si>
  <si>
    <t>非核心。CPI无优势。次留成本$50.83太高。R1常年不达标。</t>
  </si>
  <si>
    <t>$10.40</t>
  </si>
  <si>
    <t>$1,352</t>
  </si>
  <si>
    <t>非核心。高花费+低留存典型。CPI=$10.40太贵。模拟经营方向整体翻车。</t>
  </si>
  <si>
    <t>$19.27</t>
  </si>
  <si>
    <t>CPI=$19.27太贵。即使R1/R3好也无法承受。需素材重做降CPI。</t>
  </si>
  <si>
    <t>$11.00</t>
  </si>
  <si>
    <t>非核心。CPI=$11.00太贵。高花费$913验证方向失败。</t>
  </si>
  <si>
    <t>其余模拟经营系列</t>
  </si>
  <si>
    <t>&gt;$14</t>
  </si>
  <si>
    <t>&lt;33%</t>
  </si>
  <si>
    <t>~0%</t>
  </si>
  <si>
    <t>&lt;10</t>
  </si>
  <si>
    <t>&lt;$160</t>
  </si>
  <si>
    <t>CPI全部&gt;$14，R3全部≈0%。方向性失败。</t>
  </si>
  <si>
    <t>其余低DNU抓宠变体</t>
  </si>
  <si>
    <t>&gt;$15</t>
  </si>
  <si>
    <t>&lt;25%</t>
  </si>
  <si>
    <t>0%</t>
  </si>
  <si>
    <t>&lt;$170</t>
  </si>
  <si>
    <t>狐狸/可达鸭/血腥等CPI&gt;$15太贵+DNU&lt;10无统计意义。</t>
  </si>
  <si>
    <t>▌预算分配概览</t>
  </si>
  <si>
    <t>等级</t>
  </si>
  <si>
    <t>素材数</t>
  </si>
  <si>
    <t>建议预算</t>
  </si>
  <si>
    <t>占比</t>
  </si>
  <si>
    <t>说明</t>
  </si>
  <si>
    <t>Tier 1 必测</t>
  </si>
  <si>
    <t>9个(7组独立素材)</t>
  </si>
  <si>
    <t>$35,000-43,500</t>
  </si>
  <si>
    <t>~72%</t>
  </si>
  <si>
    <t>核心方向验证付费，主力量。6月可靠素材优先给预算。</t>
  </si>
  <si>
    <t>Tier 2 强烈推荐</t>
  </si>
  <si>
    <t>4个</t>
  </si>
  <si>
    <t>$4,000-6,500</t>
  </si>
  <si>
    <t>~10%</t>
  </si>
  <si>
    <t>补样本+非核心黑马验证。</t>
  </si>
  <si>
    <t>Tier 3 辅测</t>
  </si>
  <si>
    <t>5个</t>
  </si>
  <si>
    <t>$2,300-3,800</t>
  </si>
  <si>
    <t>~5%</t>
  </si>
  <si>
    <t>黑马+竞品对标+异常澄清。</t>
  </si>
  <si>
    <t>机动/新素材(Task 2)</t>
  </si>
  <si>
    <t>待定</t>
  </si>
  <si>
    <t>$5,000-8,000</t>
  </si>
  <si>
    <t>~13%</t>
  </si>
  <si>
    <t>竞品分析后新方向素材脚本。</t>
  </si>
  <si>
    <t>合计</t>
  </si>
  <si>
    <t>18个(不含Task2)</t>
  </si>
  <si>
    <t>$46,300-61,800</t>
  </si>
  <si>
    <t>100%</t>
  </si>
  <si>
    <t>预算上限可能触发砍量，优先保Tier 1。</t>
  </si>
  <si>
    <t>▌核心策略说明</t>
  </si>
  <si>
    <t>1. [方向结构] 捉宠方向7个素材(主力)+融合方向3个+进化方向1个+非核心辅测5个。捉宠方向最大，覆盖不同子方向(战斗/经营/核心玩法)。</t>
  </si>
  <si>
    <t>2. [底牌] V-抓宠战斗AEO是唯一双月R1均≥35%的素材，9月最确定的底牌。P-宠物展示-合成3D是跑量主力(CPI最低+DNU最大)。</t>
  </si>
  <si>
    <t>3. [缺位的方向] 进化方向仅P-宠物展示-二阶进化一个选手，素材储备不足。Task 2新素材脚本需重点补进化方向。</t>
  </si>
  <si>
    <t>4. [筛选漏斗] Install/AEO先跑3-5天 → 按CPI&lt;$8 + R1&gt;25% + R3&gt;8%筛选 → 优胜者进Purchase Camp测3日付费。</t>
  </si>
  <si>
    <t>5. [4月vs6月] 6月数据为决策主锚。4月表现好但6月未测的素材(高效抓宠/核心玩法/灾后重建)需在6月环境下重新验证，不盲目加量。</t>
  </si>
  <si>
    <t>6. [放弃] 海啸(CPI无优势+非核心)；模拟经营全系列(CPI高+留存差)；帕萌战斗其他变体(杀宠复刻CPI=$11太高)；抓宠经营狐狸/可达鸭/血腥(CPI&gt;$15)。</t>
  </si>
  <si>
    <t>7. [素材老化] 4月素材(V-高效抓宠/V-核心玩法/P-灾后重建)放置了4-5个月，建议重新制作/翻新再测，避免素材疲劳导致CPI虚高。</t>
  </si>
  <si>
    <t>8. [机动预算] $5-8K留给Task 2的新方向素材脚本(等你竞品素材后产出)。</t>
  </si>
  <si>
    <t>▌素材数量与量级匹配（自检）</t>
  </si>
  <si>
    <t>共18个素材-出价组合(14个独立素材概念)。按$40-50K预算+CPI$5-8估算，可产出5,000-8,000个Install。每个素材平均DNU&gt;300，统计上有意义。素材数量与预算量级匹配。</t>
  </si>
  <si>
    <t>⚠ 如果预算被砍到$30K以下，优先砍Tier 3辅测+机动预算，保留Tier 1+2核心。</t>
  </si>
  <si>
    <t>类型</t>
  </si>
  <si>
    <t>CPM</t>
  </si>
  <si>
    <t>r1_cnt</t>
  </si>
  <si>
    <t>r2_cnt</t>
  </si>
  <si>
    <t>r3_cnt</t>
  </si>
  <si>
    <t>◆ 4月</t>
  </si>
  <si>
    <t>P</t>
  </si>
  <si>
    <t>V</t>
  </si>
  <si>
    <t>◆ 6月</t>
  </si>
  <si>
    <t>小样本; CPI较4月$3.77暴涨4x至$15.44, 关注</t>
  </si>
  <si>
    <t>小样本; ⚠D1跟踪异常</t>
  </si>
  <si>
    <t>【AEO合计】</t>
  </si>
  <si>
    <t>-</t>
  </si>
  <si>
    <t>6个素材</t>
  </si>
  <si>
    <t>无BI数据</t>
  </si>
  <si>
    <t>【Install合计】</t>
  </si>
  <si>
    <t>10个素材</t>
  </si>
  <si>
    <t>5个素材</t>
  </si>
  <si>
    <t>32个素材</t>
  </si>
  <si>
    <t>数据源</t>
  </si>
  <si>
    <t>fb媒体-源数据.xlsx (FB Ads Manager导出)</t>
  </si>
  <si>
    <t>时间范围</t>
  </si>
  <si>
    <t>4月: 4/8-4/13(仅6天,学习期); 6月: 6/1-6/30(全月)</t>
  </si>
  <si>
    <t>⚠ 跨月对比注意</t>
  </si>
  <si>
    <t>4月仅6天数据,处于campaign学习期,CPI可能偏低; 6月为全月数据包含更多竞争时段。直接对比CPI需谨慎。</t>
  </si>
  <si>
    <t>地区</t>
  </si>
  <si>
    <t>仅美国</t>
  </si>
  <si>
    <t>聚合方式</t>
  </si>
  <si>
    <t>按素材名称+出价方式合并(同素材多日期/多广告组合并)</t>
  </si>
  <si>
    <t>更新时间</t>
  </si>
  <si>
    <t>2026-07-24</t>
  </si>
  <si>
    <t>4月 AEO</t>
  </si>
  <si>
    <t>6素材, 176安装, $971.33花费</t>
  </si>
  <si>
    <t>4月 Install</t>
  </si>
  <si>
    <t>10素材, 533安装, $2,021.27花费</t>
  </si>
  <si>
    <t>6月 AEO</t>
  </si>
  <si>
    <t>5素材, 325安装, $2,737.83花费</t>
  </si>
  <si>
    <t>6月 Install</t>
  </si>
  <si>
    <t>32素材, 1388安装, $10,174.48花费</t>
  </si>
  <si>
    <t>总计</t>
  </si>
  <si>
    <t>53素材行(不含合计)</t>
  </si>
  <si>
    <t>留存数据来源</t>
  </si>
  <si>
    <t>BI汇总(素材ID↔FB广告编号), 按素材+出价+月份聚合, DNU加权平均</t>
  </si>
  <si>
    <t>R1/R2/R3定义</t>
  </si>
  <si>
    <t>R1=r1_cnt/dnu (次日留存), R2=r2_cnt/dnu (2日留存), R3=r3_cnt/dnu (3日留存)</t>
  </si>
  <si>
    <t>匹配率</t>
  </si>
  <si>
    <t>53/57 数据行匹配 (93%), 4个合计行无BI数据属正常</t>
  </si>
  <si>
    <t>2026-07-29</t>
  </si>
  <si>
    <t>一、两次测试都数据好的素材（4月+6月 双月 DNU ≥ 30）</t>
  </si>
  <si>
    <t>标准：仅4个素材-出价组合满足双月样本充足。CPI和留存分开列，方便对比。</t>
  </si>
  <si>
    <t>4月 CPI</t>
  </si>
  <si>
    <t>4月 R1</t>
  </si>
  <si>
    <t>4月 R3</t>
  </si>
  <si>
    <t>4月 DNU</t>
  </si>
  <si>
    <t>6月 CPI</t>
  </si>
  <si>
    <t>6月 R1</t>
  </si>
  <si>
    <t>6月 R3</t>
  </si>
  <si>
    <t>6月 DNU</t>
  </si>
  <si>
    <t>R1 变化</t>
  </si>
  <si>
    <t>R3 变化</t>
  </si>
  <si>
    <t>CPI 变化</t>
  </si>
  <si>
    <t>附：所有跨月素材总览（含小样本，仅供参考）</t>
  </si>
  <si>
    <t>数据质量</t>
  </si>
  <si>
    <t>✅可靠</t>
  </si>
  <si>
    <t>❌噪音</t>
  </si>
  <si>
    <t>⚠小样本</t>
  </si>
  <si>
    <t>二、样本不足但表现亮眼 — 建议重新测试</t>
  </si>
  <si>
    <t>筛选标准：DNU &lt; 30 且 ≥ 5（过滤绝对噪音）。绿色=强烈推荐重测。</t>
  </si>
  <si>
    <t>2a. Top 5 次日留存 (R1) 最高</t>
  </si>
  <si>
    <t>排名</t>
  </si>
  <si>
    <t>⭐必测！R1天花板52.9%</t>
  </si>
  <si>
    <t>R1=50%且R3=16.7%也不错</t>
  </si>
  <si>
    <t>⭐R1+R3双高+CPI极低</t>
  </si>
  <si>
    <t>R1亮眼但R3=0%需观察</t>
  </si>
  <si>
    <t>R1高但CPI偏贵</t>
  </si>
  <si>
    <t>2b. Top 5 三日留存 (R3) 最高</t>
  </si>
  <si>
    <t>⭐R1=44%+R3=33%+CPI=$4.13三冠王</t>
  </si>
  <si>
    <t>R3异常高33%但R1仅17%需验证</t>
  </si>
  <si>
    <t>R1=R3=20%均衡但DNU仅5</t>
  </si>
  <si>
    <t>R1=36%+R3=18%但CPI贵</t>
  </si>
  <si>
    <t>R3=17%尚可，整体一般</t>
  </si>
  <si>
    <t>2c. Top 5 综合最优 (R1×0.5 + R3×0.5)</t>
  </si>
  <si>
    <t>综合分</t>
  </si>
  <si>
    <t>2d. Top 5 最低CPI (获客成本最低)</t>
  </si>
  <si>
    <t>⭐CPI仅$3.68 + DNU=27差3个达标</t>
  </si>
  <si>
    <t>⭐CPI=$4.13+R1=44%+R3=33%</t>
  </si>
  <si>
    <t>CPI低但R1仅10%不推荐</t>
  </si>
  <si>
    <t>CPI低+R3=33%但R1仅17%</t>
  </si>
  <si>
    <t>CPI=$5.60但留存一般</t>
  </si>
  <si>
    <t>三、优先重测清单</t>
  </si>
  <si>
    <t>综合考虑留存、CPI、样本量，排序推荐下次测试优先加量的素材。</t>
  </si>
  <si>
    <t>核心理由</t>
  </si>
  <si>
    <t>🥇 最优先</t>
  </si>
  <si>
    <t>R1=44%+R3=33%+CPI=$4.13三冠王，性价比无敌</t>
  </si>
  <si>
    <t>加预算冲50+ DNU验证</t>
  </si>
  <si>
    <t>🥈 第二</t>
  </si>
  <si>
    <t>R1=53%全素材最高，17 DNU差一点达标</t>
  </si>
  <si>
    <t>加预算冲50+ DNU，关注R3能否跟上</t>
  </si>
  <si>
    <t>🥉 第三</t>
  </si>
  <si>
    <t>R1=50%+R3=17%，且Install版(DNU=76)验证过R1=32%</t>
  </si>
  <si>
    <t>AEO+Install双出价重测</t>
  </si>
  <si>
    <t>R1=36%+R3=18%留存好，但CPI太贵需看能否优化</t>
  </si>
  <si>
    <t>单独开campaign控CPI&lt;$10重测</t>
  </si>
  <si>
    <t>CPI=$3.68极低，DNU=27只差3个达标，R1=33%不错</t>
  </si>
  <si>
    <t>加$100预算即可验证</t>
  </si>
  <si>
    <t>分析方法说明</t>
  </si>
  <si>
    <t>• 数据来源：fb媒体-源数据.xlsx → BI汇总 (素材ID匹配留存) → creative_final.xlsx</t>
  </si>
  <si>
    <t>• R1/R2/R3 = 次日/2日/3日留存 = r1_cnt/dnu, r2_cnt/dnu, r3_cnt/dnu (DNU加权平均)</t>
  </si>
  <si>
    <t>• "双月可靠" = 4月和6月DNU均≥30，留存率统计上有参考价值</t>
  </si>
  <si>
    <t>• "小样本" = DNU &lt; 30，留存率仅供参考，需加大样本重新验证</t>
  </si>
  <si>
    <t>• "噪音" = DNU &lt; 10，留存率不可靠，不作为决策依据</t>
  </si>
  <si>
    <t>• 综合分 = R1×0.5 + R3×0.5，兼顾短期和中期留存</t>
  </si>
  <si>
    <t>• 分析日期：2026-07-29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</si>
</sst>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"/>
    <numFmt numFmtId="177" formatCode="0.0%"/>
    <numFmt numFmtId="178" formatCode="\+\$#,##0.00"/>
    <numFmt numFmtId="179" formatCode="0.00_ "/>
  </numFmts>
  <fonts count="47">
    <font>
      <sz val="11"/>
      <color theme="1"/>
      <name val="宋体"/>
      <charset val="134"/>
      <scheme val="minor"/>
    </font>
    <font>
      <b/>
      <sz val="14"/>
      <color rgb="FF1F4E79"/>
      <name val="Arial"/>
      <charset val="134"/>
    </font>
    <font>
      <sz val="9"/>
      <color rgb="FF666666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2"/>
      <color rgb="FF2E75B6"/>
      <name val="Arial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b/>
      <sz val="11"/>
      <color rgb="FF1F4E79"/>
      <name val="Microsoft YaHei"/>
      <charset val="134"/>
    </font>
    <font>
      <sz val="11"/>
      <color theme="1"/>
      <name val="微软雅黑"/>
      <charset val="134"/>
    </font>
    <font>
      <sz val="10"/>
      <color rgb="FFC00000"/>
      <name val="Microsoft YaHei"/>
      <charset val="134"/>
    </font>
    <font>
      <i/>
      <sz val="9"/>
      <color rgb="FF999999"/>
      <name val="Microsoft YaHei"/>
      <charset val="134"/>
    </font>
    <font>
      <sz val="10"/>
      <color rgb="FF1F4E79"/>
      <name val="Microsoft YaHei"/>
      <charset val="134"/>
    </font>
    <font>
      <sz val="10"/>
      <color rgb="FF333333"/>
      <name val="Arial"/>
      <charset val="134"/>
    </font>
    <font>
      <b/>
      <sz val="12"/>
      <color rgb="FFFFFFFF"/>
      <name val="Arial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0"/>
      <color rgb="FFCC0000"/>
      <name val="Arial"/>
      <charset val="134"/>
    </font>
    <font>
      <b/>
      <sz val="10"/>
      <name val="Arial"/>
      <charset val="134"/>
    </font>
    <font>
      <b/>
      <sz val="13"/>
      <color rgb="FF1F4E79"/>
      <name val="Arial"/>
      <charset val="134"/>
    </font>
    <font>
      <b/>
      <sz val="15"/>
      <color rgb="FF1F4E79"/>
      <name val="Arial"/>
      <charset val="134"/>
    </font>
    <font>
      <sz val="9"/>
      <color rgb="FF555555"/>
      <name val="宋体"/>
      <charset val="134"/>
    </font>
    <font>
      <sz val="9"/>
      <color rgb="FF55555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  <font>
      <b/>
      <sz val="13"/>
      <color rgb="FF1F4E79"/>
      <name val="宋体"/>
      <charset val="134"/>
    </font>
    <font>
      <sz val="10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2972F4"/>
        <bgColor rgb="FF2972F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CC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4C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0" fillId="5" borderId="8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9">
      <alignment vertical="center"/>
    </xf>
    <xf numFmtId="0" fontId="31" fillId="0" borderId="9">
      <alignment vertical="center"/>
    </xf>
    <xf numFmtId="0" fontId="32" fillId="0" borderId="10">
      <alignment vertical="center"/>
    </xf>
    <xf numFmtId="0" fontId="32" fillId="0" borderId="0">
      <alignment vertical="center"/>
    </xf>
    <xf numFmtId="0" fontId="33" fillId="22" borderId="11">
      <alignment vertical="center"/>
    </xf>
    <xf numFmtId="0" fontId="34" fillId="23" borderId="12">
      <alignment vertical="center"/>
    </xf>
    <xf numFmtId="0" fontId="35" fillId="23" borderId="11">
      <alignment vertical="center"/>
    </xf>
    <xf numFmtId="0" fontId="36" fillId="24" borderId="13">
      <alignment vertical="center"/>
    </xf>
    <xf numFmtId="0" fontId="37" fillId="0" borderId="14">
      <alignment vertical="center"/>
    </xf>
    <xf numFmtId="0" fontId="38" fillId="0" borderId="15">
      <alignment vertical="center"/>
    </xf>
    <xf numFmtId="0" fontId="39" fillId="4" borderId="0">
      <alignment vertical="center"/>
    </xf>
    <xf numFmtId="0" fontId="40" fillId="3" borderId="0">
      <alignment vertical="center"/>
    </xf>
    <xf numFmtId="0" fontId="41" fillId="25" borderId="0">
      <alignment vertical="center"/>
    </xf>
    <xf numFmtId="0" fontId="42" fillId="26" borderId="0">
      <alignment vertical="center"/>
    </xf>
    <xf numFmtId="0" fontId="43" fillId="27" borderId="0">
      <alignment vertical="center"/>
    </xf>
    <xf numFmtId="0" fontId="43" fillId="28" borderId="0">
      <alignment vertical="center"/>
    </xf>
    <xf numFmtId="0" fontId="42" fillId="29" borderId="0">
      <alignment vertical="center"/>
    </xf>
    <xf numFmtId="0" fontId="42" fillId="30" borderId="0">
      <alignment vertical="center"/>
    </xf>
    <xf numFmtId="0" fontId="43" fillId="31" borderId="0">
      <alignment vertical="center"/>
    </xf>
    <xf numFmtId="0" fontId="43" fillId="32" borderId="0">
      <alignment vertical="center"/>
    </xf>
    <xf numFmtId="0" fontId="42" fillId="33" borderId="0">
      <alignment vertical="center"/>
    </xf>
    <xf numFmtId="0" fontId="42" fillId="34" borderId="0">
      <alignment vertical="center"/>
    </xf>
    <xf numFmtId="0" fontId="43" fillId="35" borderId="0">
      <alignment vertical="center"/>
    </xf>
    <xf numFmtId="0" fontId="43" fillId="36" borderId="0">
      <alignment vertical="center"/>
    </xf>
    <xf numFmtId="0" fontId="42" fillId="37" borderId="0">
      <alignment vertical="center"/>
    </xf>
    <xf numFmtId="0" fontId="42" fillId="38" borderId="0">
      <alignment vertical="center"/>
    </xf>
    <xf numFmtId="0" fontId="43" fillId="39" borderId="0">
      <alignment vertical="center"/>
    </xf>
    <xf numFmtId="0" fontId="43" fillId="40" borderId="0">
      <alignment vertical="center"/>
    </xf>
    <xf numFmtId="0" fontId="42" fillId="41" borderId="0">
      <alignment vertical="center"/>
    </xf>
    <xf numFmtId="0" fontId="42" fillId="42" borderId="0">
      <alignment vertical="center"/>
    </xf>
    <xf numFmtId="0" fontId="43" fillId="43" borderId="0">
      <alignment vertical="center"/>
    </xf>
    <xf numFmtId="0" fontId="43" fillId="44" borderId="0">
      <alignment vertical="center"/>
    </xf>
    <xf numFmtId="0" fontId="42" fillId="45" borderId="0">
      <alignment vertical="center"/>
    </xf>
    <xf numFmtId="0" fontId="42" fillId="46" borderId="0">
      <alignment vertical="center"/>
    </xf>
    <xf numFmtId="0" fontId="43" fillId="47" borderId="0">
      <alignment vertical="center"/>
    </xf>
    <xf numFmtId="0" fontId="43" fillId="48" borderId="0">
      <alignment vertical="center"/>
    </xf>
    <xf numFmtId="0" fontId="42" fillId="49" borderId="0">
      <alignment vertical="center"/>
    </xf>
  </cellStyleXfs>
  <cellXfs count="1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0" fillId="0" borderId="0" xfId="0" applyFont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3" fontId="11" fillId="7" borderId="2" xfId="0" applyNumberFormat="1" applyFont="1" applyFill="1" applyBorder="1" applyAlignment="1">
      <alignment horizontal="center" vertical="center"/>
    </xf>
    <xf numFmtId="176" fontId="11" fillId="7" borderId="2" xfId="0" applyNumberFormat="1" applyFont="1" applyFill="1" applyBorder="1" applyAlignment="1">
      <alignment horizontal="center" vertical="center"/>
    </xf>
    <xf numFmtId="10" fontId="11" fillId="7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wrapText="1"/>
    </xf>
    <xf numFmtId="177" fontId="10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3" fontId="12" fillId="7" borderId="2" xfId="0" applyNumberFormat="1" applyFont="1" applyFill="1" applyBorder="1" applyAlignment="1">
      <alignment horizontal="center" vertical="center"/>
    </xf>
    <xf numFmtId="176" fontId="12" fillId="7" borderId="2" xfId="0" applyNumberFormat="1" applyFont="1" applyFill="1" applyBorder="1" applyAlignment="1">
      <alignment horizontal="center" vertical="center"/>
    </xf>
    <xf numFmtId="10" fontId="12" fillId="7" borderId="2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3" fontId="13" fillId="7" borderId="2" xfId="0" applyNumberFormat="1" applyFont="1" applyFill="1" applyBorder="1" applyAlignment="1">
      <alignment horizontal="center" vertical="center"/>
    </xf>
    <xf numFmtId="176" fontId="13" fillId="7" borderId="2" xfId="0" applyNumberFormat="1" applyFont="1" applyFill="1" applyBorder="1" applyAlignment="1">
      <alignment horizontal="center" vertical="center"/>
    </xf>
    <xf numFmtId="10" fontId="13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/>
    </xf>
    <xf numFmtId="176" fontId="11" fillId="8" borderId="2" xfId="0" applyNumberFormat="1" applyFont="1" applyFill="1" applyBorder="1" applyAlignment="1">
      <alignment horizontal="center" vertical="center"/>
    </xf>
    <xf numFmtId="10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43" fontId="10" fillId="0" borderId="0" xfId="0" applyNumberFormat="1" applyFont="1" applyAlignment="1">
      <alignment horizontal="right" vertical="center"/>
    </xf>
    <xf numFmtId="0" fontId="12" fillId="8" borderId="2" xfId="0" applyFont="1" applyFill="1" applyBorder="1" applyAlignment="1">
      <alignment horizontal="center" vertical="center"/>
    </xf>
    <xf numFmtId="3" fontId="12" fillId="8" borderId="2" xfId="0" applyNumberFormat="1" applyFont="1" applyFill="1" applyBorder="1" applyAlignment="1">
      <alignment horizontal="center" vertical="center"/>
    </xf>
    <xf numFmtId="176" fontId="12" fillId="8" borderId="2" xfId="0" applyNumberFormat="1" applyFont="1" applyFill="1" applyBorder="1" applyAlignment="1">
      <alignment horizontal="center" vertical="center"/>
    </xf>
    <xf numFmtId="10" fontId="12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/>
    </xf>
    <xf numFmtId="3" fontId="13" fillId="8" borderId="2" xfId="0" applyNumberFormat="1" applyFont="1" applyFill="1" applyBorder="1" applyAlignment="1">
      <alignment horizontal="center" vertical="center"/>
    </xf>
    <xf numFmtId="176" fontId="13" fillId="8" borderId="2" xfId="0" applyNumberFormat="1" applyFont="1" applyFill="1" applyBorder="1" applyAlignment="1">
      <alignment horizontal="center" vertical="center"/>
    </xf>
    <xf numFmtId="10" fontId="13" fillId="8" borderId="2" xfId="0" applyNumberFormat="1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 wrapText="1"/>
    </xf>
    <xf numFmtId="177" fontId="10" fillId="9" borderId="0" xfId="0" applyNumberFormat="1" applyFont="1" applyFill="1" applyAlignment="1">
      <alignment horizontal="center" vertical="center"/>
    </xf>
    <xf numFmtId="0" fontId="0" fillId="10" borderId="2" xfId="0" applyFill="1" applyBorder="1"/>
    <xf numFmtId="0" fontId="6" fillId="10" borderId="2" xfId="0" applyFont="1" applyFill="1" applyBorder="1" applyAlignment="1">
      <alignment horizontal="center" vertical="center"/>
    </xf>
    <xf numFmtId="3" fontId="6" fillId="10" borderId="2" xfId="0" applyNumberFormat="1" applyFont="1" applyFill="1" applyBorder="1" applyAlignment="1">
      <alignment horizontal="center" vertical="center"/>
    </xf>
    <xf numFmtId="176" fontId="6" fillId="10" borderId="2" xfId="0" applyNumberFormat="1" applyFont="1" applyFill="1" applyBorder="1" applyAlignment="1">
      <alignment horizontal="center" vertical="center"/>
    </xf>
    <xf numFmtId="10" fontId="6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5" fillId="11" borderId="0" xfId="0" applyFont="1" applyFill="1" applyAlignment="1">
      <alignment horizontal="left" vertical="center"/>
    </xf>
    <xf numFmtId="0" fontId="16" fillId="12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13" borderId="5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vertical="center" wrapText="1"/>
    </xf>
    <xf numFmtId="0" fontId="16" fillId="15" borderId="5" xfId="0" applyFont="1" applyFill="1" applyBorder="1" applyAlignment="1">
      <alignment horizontal="center" vertical="center" wrapText="1"/>
    </xf>
    <xf numFmtId="0" fontId="17" fillId="16" borderId="5" xfId="0" applyFont="1" applyFill="1" applyBorder="1" applyAlignment="1">
      <alignment horizontal="center" vertical="center" wrapText="1"/>
    </xf>
    <xf numFmtId="0" fontId="17" fillId="16" borderId="5" xfId="0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21" fillId="19" borderId="0" xfId="0" applyFont="1" applyFill="1"/>
    <xf numFmtId="0" fontId="4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0" fillId="17" borderId="5" xfId="0" applyFont="1" applyFill="1" applyBorder="1" applyAlignment="1">
      <alignment horizontal="left" vertical="center" wrapText="1"/>
    </xf>
    <xf numFmtId="10" fontId="4" fillId="17" borderId="5" xfId="0" applyNumberFormat="1" applyFont="1" applyFill="1" applyBorder="1" applyAlignment="1">
      <alignment horizontal="center" vertical="center" wrapText="1"/>
    </xf>
    <xf numFmtId="179" fontId="4" fillId="17" borderId="5" xfId="0" applyNumberFormat="1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 vertical="center" wrapText="1"/>
    </xf>
    <xf numFmtId="0" fontId="20" fillId="4" borderId="5" xfId="0" applyFont="1" applyFill="1" applyBorder="1" applyAlignment="1">
      <alignment horizontal="left" vertical="center" wrapText="1"/>
    </xf>
    <xf numFmtId="179" fontId="4" fillId="4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20" fillId="16" borderId="5" xfId="0" applyFont="1" applyFill="1" applyBorder="1" applyAlignment="1">
      <alignment horizontal="left" vertical="center" wrapText="1"/>
    </xf>
    <xf numFmtId="0" fontId="4" fillId="16" borderId="5" xfId="0" applyFont="1" applyFill="1" applyBorder="1" applyAlignment="1">
      <alignment horizontal="left" vertical="center" wrapText="1"/>
    </xf>
    <xf numFmtId="10" fontId="4" fillId="4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21" fillId="19" borderId="0" xfId="0" applyFont="1" applyFill="1"/>
    <xf numFmtId="0" fontId="20" fillId="4" borderId="5" xfId="0" applyFont="1" applyFill="1" applyBorder="1" applyAlignment="1">
      <alignment horizontal="left" vertical="center" wrapText="1"/>
    </xf>
    <xf numFmtId="0" fontId="20" fillId="18" borderId="5" xfId="0" applyFont="1" applyFill="1" applyBorder="1" applyAlignment="1">
      <alignment horizontal="left" vertical="center" wrapText="1"/>
    </xf>
    <xf numFmtId="0" fontId="4" fillId="18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center" vertical="center" wrapText="1"/>
    </xf>
    <xf numFmtId="179" fontId="4" fillId="18" borderId="5" xfId="0" applyNumberFormat="1" applyFont="1" applyFill="1" applyBorder="1" applyAlignment="1">
      <alignment horizontal="center" vertical="center" wrapText="1"/>
    </xf>
    <xf numFmtId="10" fontId="4" fillId="18" borderId="5" xfId="0" applyNumberFormat="1" applyFont="1" applyFill="1" applyBorder="1" applyAlignment="1">
      <alignment horizontal="center" vertical="center" wrapText="1"/>
    </xf>
    <xf numFmtId="0" fontId="20" fillId="20" borderId="5" xfId="0" applyFont="1" applyFill="1" applyBorder="1" applyAlignment="1">
      <alignment horizontal="center" vertical="center" wrapText="1"/>
    </xf>
    <xf numFmtId="0" fontId="4" fillId="20" borderId="5" xfId="0" applyFont="1" applyFill="1" applyBorder="1" applyAlignment="1">
      <alignment horizontal="center" vertical="center" wrapText="1"/>
    </xf>
    <xf numFmtId="10" fontId="4" fillId="20" borderId="5" xfId="0" applyNumberFormat="1" applyFont="1" applyFill="1" applyBorder="1" applyAlignment="1">
      <alignment horizontal="center" vertical="center" wrapText="1"/>
    </xf>
    <xf numFmtId="0" fontId="4" fillId="20" borderId="5" xfId="0" applyFont="1" applyFill="1" applyBorder="1" applyAlignment="1">
      <alignment horizontal="left" vertical="center" wrapText="1"/>
    </xf>
    <xf numFmtId="0" fontId="20" fillId="17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79" fontId="4" fillId="20" borderId="5" xfId="0" applyNumberFormat="1" applyFont="1" applyFill="1" applyBorder="1" applyAlignment="1">
      <alignment horizontal="center" vertical="center" wrapText="1"/>
    </xf>
    <xf numFmtId="0" fontId="0" fillId="21" borderId="0" xfId="0" applyFill="1" applyAlignment="1">
      <alignment horizontal="center"/>
    </xf>
    <xf numFmtId="0" fontId="20" fillId="20" borderId="5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20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2"/>
  <sheetViews>
    <sheetView tabSelected="1" workbookViewId="0">
      <pane ySplit="3" topLeftCell="A4" activePane="bottomLeft" state="frozen"/>
      <selection/>
      <selection pane="bottomLeft" activeCell="A6" sqref="A6"/>
    </sheetView>
  </sheetViews>
  <sheetFormatPr defaultColWidth="9" defaultRowHeight="13.5"/>
  <cols>
    <col min="1" max="1" width="26" style="108" customWidth="1"/>
    <col min="2" max="2" width="16" customWidth="1"/>
    <col min="3" max="3" width="26" style="108" customWidth="1"/>
    <col min="4" max="4" width="8" customWidth="1"/>
    <col min="5" max="5" width="10" customWidth="1"/>
    <col min="6" max="6" width="8" customWidth="1"/>
    <col min="7" max="7" width="12" customWidth="1"/>
    <col min="8" max="10" width="10" customWidth="1"/>
    <col min="11" max="12" width="12" customWidth="1"/>
    <col min="13" max="13" width="10" customWidth="1"/>
    <col min="14" max="14" width="12" customWidth="1"/>
    <col min="15" max="18" width="10" customWidth="1"/>
    <col min="19" max="19" width="47" customWidth="1"/>
    <col min="20" max="20" width="9" style="109"/>
  </cols>
  <sheetData>
    <row r="1" ht="32" customHeight="1" spans="1:20">
      <c r="A1" s="68" t="s">
        <v>0</v>
      </c>
    </row>
    <row r="2" ht="24" customHeight="1" spans="1:20">
      <c r="A2" s="110" t="s">
        <v>1</v>
      </c>
    </row>
    <row r="3" ht="32" customHeight="1" spans="1:20">
      <c r="A3" s="111" t="s">
        <v>2</v>
      </c>
      <c r="B3" s="111" t="s">
        <v>3</v>
      </c>
      <c r="C3" s="111" t="s">
        <v>4</v>
      </c>
      <c r="D3" s="111" t="s">
        <v>5</v>
      </c>
      <c r="E3" s="111" t="s">
        <v>6</v>
      </c>
      <c r="F3" s="111" t="s">
        <v>7</v>
      </c>
      <c r="G3" s="111" t="s">
        <v>8</v>
      </c>
      <c r="H3" s="111" t="s">
        <v>9</v>
      </c>
      <c r="I3" s="111" t="s">
        <v>10</v>
      </c>
      <c r="J3" s="111" t="s">
        <v>11</v>
      </c>
      <c r="K3" s="111" t="s">
        <v>12</v>
      </c>
      <c r="L3" s="111" t="s">
        <v>13</v>
      </c>
      <c r="M3" s="111" t="s">
        <v>14</v>
      </c>
      <c r="N3" s="111" t="s">
        <v>15</v>
      </c>
      <c r="O3" s="111" t="s">
        <v>16</v>
      </c>
      <c r="P3" s="111" t="s">
        <v>17</v>
      </c>
      <c r="Q3" s="111" t="s">
        <v>18</v>
      </c>
      <c r="R3" s="111" t="s">
        <v>19</v>
      </c>
      <c r="S3" s="111" t="s">
        <v>20</v>
      </c>
    </row>
    <row r="4" ht="22" customHeight="1" spans="1:20">
      <c r="A4" s="112" t="s">
        <v>21</v>
      </c>
      <c r="B4" s="84" t="s">
        <v>22</v>
      </c>
      <c r="C4" s="84" t="s">
        <v>23</v>
      </c>
      <c r="D4" s="84" t="s">
        <v>24</v>
      </c>
      <c r="E4" s="84" t="s">
        <v>25</v>
      </c>
      <c r="F4" s="84">
        <v>44</v>
      </c>
      <c r="G4" s="84">
        <v>8.6</v>
      </c>
      <c r="H4" s="84" t="s">
        <v>26</v>
      </c>
      <c r="I4" s="84" t="s">
        <v>27</v>
      </c>
      <c r="J4" s="84" t="s">
        <v>28</v>
      </c>
      <c r="K4" s="97">
        <f>L4/(F4*H4)</f>
        <v>33.8050314465409</v>
      </c>
      <c r="L4" s="84" t="s">
        <v>29</v>
      </c>
      <c r="M4" s="84">
        <v>55</v>
      </c>
      <c r="N4" s="84">
        <v>26305</v>
      </c>
      <c r="O4" s="84">
        <v>248</v>
      </c>
      <c r="P4" s="84" t="s">
        <v>30</v>
      </c>
      <c r="Q4" s="84" t="s">
        <v>31</v>
      </c>
      <c r="R4" s="102">
        <f>Q4*P4</f>
        <v>0.0020868</v>
      </c>
      <c r="S4" s="103" t="s">
        <v>32</v>
      </c>
      <c r="T4" s="109" t="s">
        <v>33</v>
      </c>
    </row>
    <row r="5" ht="6" customHeight="1"/>
    <row r="6" ht="22" customHeight="1" spans="1:20">
      <c r="A6" s="113" t="s">
        <v>34</v>
      </c>
      <c r="B6" s="86" t="s">
        <v>22</v>
      </c>
      <c r="C6" s="86" t="s">
        <v>35</v>
      </c>
      <c r="D6" s="86" t="s">
        <v>24</v>
      </c>
      <c r="E6" s="86" t="s">
        <v>25</v>
      </c>
      <c r="F6" s="86">
        <v>14</v>
      </c>
      <c r="G6" s="86">
        <v>7.52</v>
      </c>
      <c r="H6" s="86" t="s">
        <v>36</v>
      </c>
      <c r="I6" s="86" t="s">
        <v>36</v>
      </c>
      <c r="J6" s="86" t="s">
        <v>37</v>
      </c>
      <c r="K6" s="114">
        <f>L6/(F6*H6)</f>
        <v>30.0120048019208</v>
      </c>
      <c r="L6" s="86" t="s">
        <v>38</v>
      </c>
      <c r="M6" s="86">
        <v>20</v>
      </c>
      <c r="N6" s="86">
        <v>8105</v>
      </c>
      <c r="O6" s="86">
        <v>147</v>
      </c>
      <c r="P6" s="86" t="s">
        <v>39</v>
      </c>
      <c r="Q6" s="86" t="s">
        <v>40</v>
      </c>
      <c r="R6" s="115">
        <f>Q6*P6</f>
        <v>0.0024616</v>
      </c>
      <c r="S6" s="107" t="s">
        <v>41</v>
      </c>
    </row>
    <row r="7" ht="6" customHeight="1"/>
    <row r="8" ht="22" customHeight="1" spans="1:20">
      <c r="A8" s="112" t="s">
        <v>42</v>
      </c>
      <c r="B8" s="84" t="s">
        <v>22</v>
      </c>
      <c r="C8" s="84" t="s">
        <v>35</v>
      </c>
      <c r="D8" s="84" t="s">
        <v>24</v>
      </c>
      <c r="E8" s="84" t="s">
        <v>25</v>
      </c>
      <c r="F8" s="84">
        <v>60</v>
      </c>
      <c r="G8" s="84">
        <v>4.74</v>
      </c>
      <c r="H8" s="84" t="s">
        <v>43</v>
      </c>
      <c r="I8" s="84" t="s">
        <v>44</v>
      </c>
      <c r="J8" s="84" t="s">
        <v>45</v>
      </c>
      <c r="K8" s="97">
        <f>L8/(F8*H8)</f>
        <v>22.0259128386337</v>
      </c>
      <c r="L8" s="84" t="s">
        <v>46</v>
      </c>
      <c r="M8" s="84">
        <v>79</v>
      </c>
      <c r="N8" s="84">
        <v>21677</v>
      </c>
      <c r="O8" s="84">
        <v>308</v>
      </c>
      <c r="P8" s="84" t="s">
        <v>47</v>
      </c>
      <c r="Q8" s="84" t="s">
        <v>48</v>
      </c>
      <c r="R8" s="102">
        <f>Q8*P8</f>
        <v>0.0036494</v>
      </c>
      <c r="S8" s="98" t="s">
        <v>49</v>
      </c>
      <c r="T8" s="109" t="s">
        <v>33</v>
      </c>
    </row>
    <row r="9" ht="6" customHeight="1"/>
    <row r="10" ht="22" customHeight="1" spans="1:20">
      <c r="A10" s="116" t="s">
        <v>50</v>
      </c>
      <c r="B10" s="117" t="s">
        <v>51</v>
      </c>
      <c r="C10" s="117" t="s">
        <v>52</v>
      </c>
      <c r="D10" s="117" t="s">
        <v>24</v>
      </c>
      <c r="E10" s="117" t="s">
        <v>25</v>
      </c>
      <c r="F10" s="117">
        <v>4</v>
      </c>
      <c r="G10" s="117">
        <v>6.24</v>
      </c>
      <c r="H10" s="117" t="s">
        <v>37</v>
      </c>
      <c r="I10" s="117" t="s">
        <v>53</v>
      </c>
      <c r="J10" s="117" t="s">
        <v>53</v>
      </c>
      <c r="K10" s="117" t="str">
        <f>IFERROR(L10/(F10*H10),"—")</f>
        <v>—</v>
      </c>
      <c r="L10" s="117" t="s">
        <v>54</v>
      </c>
      <c r="M10" s="117">
        <v>4</v>
      </c>
      <c r="N10" s="117">
        <v>954</v>
      </c>
      <c r="O10" s="117">
        <v>23</v>
      </c>
      <c r="P10" s="117" t="s">
        <v>55</v>
      </c>
      <c r="Q10" s="117" t="s">
        <v>56</v>
      </c>
      <c r="R10" s="118">
        <f>P10*Q10</f>
        <v>0.0041934</v>
      </c>
      <c r="S10" s="119" t="s">
        <v>57</v>
      </c>
    </row>
    <row r="11" ht="6" customHeight="1"/>
    <row r="12" ht="22" customHeight="1" spans="1:20">
      <c r="A12" s="120" t="s">
        <v>58</v>
      </c>
      <c r="B12" s="85" t="s">
        <v>51</v>
      </c>
      <c r="C12" s="85" t="s">
        <v>59</v>
      </c>
      <c r="D12" s="85" t="s">
        <v>24</v>
      </c>
      <c r="E12" s="85" t="s">
        <v>25</v>
      </c>
      <c r="F12" s="85">
        <v>77</v>
      </c>
      <c r="G12" s="85">
        <v>4.98</v>
      </c>
      <c r="H12" s="85" t="s">
        <v>60</v>
      </c>
      <c r="I12" s="93">
        <v>0.052</v>
      </c>
      <c r="J12" s="85" t="s">
        <v>61</v>
      </c>
      <c r="K12" s="94">
        <f>L12/(F12*H12)</f>
        <v>26.4735264735265</v>
      </c>
      <c r="L12" s="85" t="s">
        <v>62</v>
      </c>
      <c r="M12" s="85">
        <v>85</v>
      </c>
      <c r="N12" s="85">
        <v>21342</v>
      </c>
      <c r="O12" s="85">
        <v>643</v>
      </c>
      <c r="P12" s="85" t="s">
        <v>63</v>
      </c>
      <c r="Q12" s="85" t="s">
        <v>64</v>
      </c>
      <c r="R12" s="93">
        <f t="shared" ref="R12:R14" si="0">Q12*P12</f>
        <v>0.0039732</v>
      </c>
      <c r="S12" s="95" t="s">
        <v>65</v>
      </c>
      <c r="T12" s="109" t="s">
        <v>33</v>
      </c>
    </row>
    <row r="13" ht="22" customHeight="1" spans="1:20">
      <c r="A13" s="121"/>
      <c r="B13" s="121"/>
      <c r="C13" s="121"/>
      <c r="D13" s="84" t="s">
        <v>24</v>
      </c>
      <c r="E13" s="84" t="s">
        <v>66</v>
      </c>
      <c r="F13" s="84">
        <v>77</v>
      </c>
      <c r="G13" s="84">
        <v>8.42</v>
      </c>
      <c r="H13" s="84" t="s">
        <v>67</v>
      </c>
      <c r="I13" s="84" t="s">
        <v>28</v>
      </c>
      <c r="J13" s="84" t="s">
        <v>68</v>
      </c>
      <c r="K13" s="97">
        <f>L13/(F13*H13)</f>
        <v>31.4870314870315</v>
      </c>
      <c r="L13" s="84" t="s">
        <v>69</v>
      </c>
      <c r="M13" s="84">
        <v>101</v>
      </c>
      <c r="N13" s="84">
        <v>35873</v>
      </c>
      <c r="O13" s="84">
        <v>252</v>
      </c>
      <c r="P13" s="84" t="s">
        <v>70</v>
      </c>
      <c r="Q13" s="84" t="s">
        <v>71</v>
      </c>
      <c r="R13" s="102">
        <f t="shared" si="0"/>
        <v>0.002807</v>
      </c>
      <c r="S13" s="98" t="s">
        <v>65</v>
      </c>
    </row>
    <row r="14" ht="22" customHeight="1" spans="1:20">
      <c r="A14" s="121"/>
      <c r="B14" s="121"/>
      <c r="C14" s="121"/>
      <c r="D14" s="85" t="s">
        <v>72</v>
      </c>
      <c r="E14" s="85" t="s">
        <v>25</v>
      </c>
      <c r="F14" s="85">
        <v>45</v>
      </c>
      <c r="G14" s="85">
        <v>3.51</v>
      </c>
      <c r="H14" s="85" t="s">
        <v>73</v>
      </c>
      <c r="I14" s="85" t="s">
        <v>74</v>
      </c>
      <c r="J14" s="85" t="s">
        <v>75</v>
      </c>
      <c r="K14" s="94">
        <f>L14/(F14*H14)</f>
        <v>20.4744069912609</v>
      </c>
      <c r="L14" s="85" t="s">
        <v>76</v>
      </c>
      <c r="M14" s="85">
        <v>70</v>
      </c>
      <c r="N14" s="85">
        <v>13718</v>
      </c>
      <c r="O14" s="85">
        <v>166</v>
      </c>
      <c r="P14" s="85" t="s">
        <v>77</v>
      </c>
      <c r="Q14" s="85" t="s">
        <v>78</v>
      </c>
      <c r="R14" s="93">
        <f t="shared" si="0"/>
        <v>0.0051062</v>
      </c>
      <c r="S14" s="95" t="s">
        <v>65</v>
      </c>
    </row>
    <row r="15" ht="22" customHeight="1" spans="1:20">
      <c r="A15" s="122"/>
      <c r="B15" s="122"/>
      <c r="C15" s="122"/>
      <c r="D15" s="84" t="s">
        <v>72</v>
      </c>
      <c r="E15" s="84" t="s">
        <v>66</v>
      </c>
      <c r="F15" s="84">
        <v>57</v>
      </c>
      <c r="G15" s="84">
        <v>5.45</v>
      </c>
      <c r="H15" s="84" t="s">
        <v>79</v>
      </c>
      <c r="I15" s="84" t="s">
        <v>80</v>
      </c>
      <c r="J15" s="84" t="s">
        <v>81</v>
      </c>
      <c r="K15" s="97">
        <f>L15/(F15*H15)</f>
        <v>18.8164712298882</v>
      </c>
      <c r="L15" s="84" t="s">
        <v>82</v>
      </c>
      <c r="M15" s="84">
        <v>76</v>
      </c>
      <c r="N15" s="84">
        <v>21267</v>
      </c>
      <c r="O15" s="84">
        <v>172</v>
      </c>
      <c r="P15" s="84" t="s">
        <v>83</v>
      </c>
      <c r="Q15" s="84" t="s">
        <v>84</v>
      </c>
      <c r="R15" s="102">
        <f>Q15*P15</f>
        <v>0.0035802</v>
      </c>
      <c r="S15" s="98" t="s">
        <v>65</v>
      </c>
    </row>
    <row r="16" ht="6" customHeight="1"/>
    <row r="17" ht="22" customHeight="1" spans="1:21">
      <c r="A17" s="120" t="s">
        <v>85</v>
      </c>
      <c r="B17" s="85" t="s">
        <v>86</v>
      </c>
      <c r="C17" s="85" t="s">
        <v>87</v>
      </c>
      <c r="D17" s="85" t="s">
        <v>24</v>
      </c>
      <c r="E17" s="85" t="s">
        <v>25</v>
      </c>
      <c r="F17" s="85">
        <v>54</v>
      </c>
      <c r="G17" s="85">
        <v>3.89</v>
      </c>
      <c r="H17" s="85" t="s">
        <v>88</v>
      </c>
      <c r="I17" s="85" t="s">
        <v>89</v>
      </c>
      <c r="J17" s="85" t="s">
        <v>90</v>
      </c>
      <c r="K17" s="94">
        <f>L17/(F17*H17)</f>
        <v>27.2272272272272</v>
      </c>
      <c r="L17" s="85" t="s">
        <v>91</v>
      </c>
      <c r="M17" s="85">
        <v>70</v>
      </c>
      <c r="N17" s="85">
        <v>13634</v>
      </c>
      <c r="O17" s="85">
        <v>217</v>
      </c>
      <c r="P17" s="85" t="s">
        <v>92</v>
      </c>
      <c r="Q17" s="85" t="s">
        <v>93</v>
      </c>
      <c r="R17" s="93">
        <f>Q17*P17</f>
        <v>0.0051357</v>
      </c>
      <c r="S17" s="95" t="s">
        <v>49</v>
      </c>
      <c r="T17" s="109" t="s">
        <v>33</v>
      </c>
      <c r="U17" t="s">
        <v>94</v>
      </c>
    </row>
    <row r="18" ht="6" customHeight="1"/>
    <row r="19" ht="22" customHeight="1" spans="1:21">
      <c r="A19" s="116" t="s">
        <v>95</v>
      </c>
      <c r="B19" s="117" t="s">
        <v>51</v>
      </c>
      <c r="C19" s="117" t="s">
        <v>52</v>
      </c>
      <c r="D19" s="117" t="s">
        <v>24</v>
      </c>
      <c r="E19" s="117" t="s">
        <v>25</v>
      </c>
      <c r="F19" s="117">
        <v>4</v>
      </c>
      <c r="G19" s="117">
        <v>3.98</v>
      </c>
      <c r="H19" s="117" t="s">
        <v>96</v>
      </c>
      <c r="I19" s="117" t="s">
        <v>53</v>
      </c>
      <c r="J19" s="117" t="s">
        <v>37</v>
      </c>
      <c r="K19" s="123">
        <f>L19/(F19*H19)</f>
        <v>10</v>
      </c>
      <c r="L19" s="117" t="s">
        <v>97</v>
      </c>
      <c r="M19" s="117">
        <v>5</v>
      </c>
      <c r="N19" s="117">
        <v>723</v>
      </c>
      <c r="O19" s="117">
        <v>32</v>
      </c>
      <c r="P19" s="117" t="s">
        <v>98</v>
      </c>
      <c r="Q19" s="117" t="s">
        <v>99</v>
      </c>
      <c r="R19" s="118">
        <f t="shared" ref="R19:R22" si="1">P19*Q19</f>
        <v>0.0069108</v>
      </c>
      <c r="S19" s="119" t="s">
        <v>100</v>
      </c>
    </row>
    <row r="20" ht="6" customHeight="1"/>
    <row r="21" ht="22" customHeight="1" spans="1:21">
      <c r="A21" s="116" t="s">
        <v>101</v>
      </c>
      <c r="B21" s="117" t="s">
        <v>51</v>
      </c>
      <c r="C21" s="117" t="s">
        <v>102</v>
      </c>
      <c r="D21" s="117" t="s">
        <v>24</v>
      </c>
      <c r="E21" s="117" t="s">
        <v>66</v>
      </c>
      <c r="F21" s="117">
        <v>4</v>
      </c>
      <c r="G21" s="117">
        <v>9.59</v>
      </c>
      <c r="H21" s="117" t="s">
        <v>53</v>
      </c>
      <c r="I21" s="117" t="s">
        <v>53</v>
      </c>
      <c r="J21" s="117" t="s">
        <v>37</v>
      </c>
      <c r="K21" s="117">
        <f>L21/(F21*H21)</f>
        <v>77</v>
      </c>
      <c r="L21" s="117" t="s">
        <v>103</v>
      </c>
      <c r="M21" s="117">
        <v>8</v>
      </c>
      <c r="N21" s="117">
        <v>2953</v>
      </c>
      <c r="O21" s="117">
        <v>25</v>
      </c>
      <c r="P21" s="117" t="s">
        <v>104</v>
      </c>
      <c r="Q21" s="117" t="s">
        <v>105</v>
      </c>
      <c r="R21" s="118">
        <f t="shared" si="1"/>
        <v>0.00272</v>
      </c>
      <c r="S21" s="119" t="s">
        <v>106</v>
      </c>
    </row>
    <row r="22" ht="22" customHeight="1" spans="1:21">
      <c r="A22" s="121"/>
      <c r="B22" s="121"/>
      <c r="C22" s="121"/>
      <c r="D22" s="117" t="s">
        <v>24</v>
      </c>
      <c r="E22" s="117" t="s">
        <v>25</v>
      </c>
      <c r="F22" s="117">
        <v>3</v>
      </c>
      <c r="G22" s="117">
        <v>10.8</v>
      </c>
      <c r="H22" s="117" t="s">
        <v>107</v>
      </c>
      <c r="I22" s="117" t="s">
        <v>108</v>
      </c>
      <c r="J22" s="117" t="s">
        <v>108</v>
      </c>
      <c r="K22" s="123">
        <f>L22/(F22*H22)</f>
        <v>15.992003998001</v>
      </c>
      <c r="L22" s="117" t="s">
        <v>109</v>
      </c>
      <c r="M22" s="117">
        <v>3</v>
      </c>
      <c r="N22" s="117">
        <v>1523</v>
      </c>
      <c r="O22" s="117">
        <v>43</v>
      </c>
      <c r="P22" s="117" t="s">
        <v>110</v>
      </c>
      <c r="Q22" s="117" t="s">
        <v>111</v>
      </c>
      <c r="R22" s="118">
        <f t="shared" si="1"/>
        <v>0.001974</v>
      </c>
      <c r="S22" s="119" t="s">
        <v>106</v>
      </c>
    </row>
    <row r="23" ht="22" customHeight="1" spans="1:21">
      <c r="A23" s="121"/>
      <c r="B23" s="121"/>
      <c r="C23" s="121"/>
      <c r="D23" s="84" t="s">
        <v>72</v>
      </c>
      <c r="E23" s="84" t="s">
        <v>25</v>
      </c>
      <c r="F23" s="84">
        <v>54</v>
      </c>
      <c r="G23" s="84">
        <v>3.52</v>
      </c>
      <c r="H23" s="84" t="s">
        <v>112</v>
      </c>
      <c r="I23" s="84" t="s">
        <v>88</v>
      </c>
      <c r="J23" s="84" t="s">
        <v>90</v>
      </c>
      <c r="K23" s="97">
        <f>L23/(F23*H23)</f>
        <v>12.6490126490126</v>
      </c>
      <c r="L23" s="84" t="s">
        <v>113</v>
      </c>
      <c r="M23" s="84">
        <v>79</v>
      </c>
      <c r="N23" s="84">
        <v>12487</v>
      </c>
      <c r="O23" s="84">
        <v>296</v>
      </c>
      <c r="P23" s="84" t="s">
        <v>114</v>
      </c>
      <c r="Q23" s="84" t="s">
        <v>73</v>
      </c>
      <c r="R23" s="102">
        <f>Q23*P23</f>
        <v>0.0063279</v>
      </c>
      <c r="S23" s="98" t="s">
        <v>65</v>
      </c>
    </row>
    <row r="24" ht="22" customHeight="1" spans="1:21">
      <c r="A24" s="122"/>
      <c r="B24" s="122"/>
      <c r="C24" s="122"/>
      <c r="D24" s="117" t="s">
        <v>72</v>
      </c>
      <c r="E24" s="117" t="s">
        <v>66</v>
      </c>
      <c r="F24" s="117">
        <v>5</v>
      </c>
      <c r="G24" s="117">
        <v>6.07</v>
      </c>
      <c r="H24" s="117" t="s">
        <v>115</v>
      </c>
      <c r="I24" s="117" t="s">
        <v>116</v>
      </c>
      <c r="J24" s="117" t="s">
        <v>115</v>
      </c>
      <c r="K24" s="123">
        <f>L24/(F24*H24)</f>
        <v>43</v>
      </c>
      <c r="L24" s="117" t="s">
        <v>117</v>
      </c>
      <c r="M24" s="117">
        <v>7</v>
      </c>
      <c r="N24" s="117">
        <v>1920</v>
      </c>
      <c r="O24" s="117">
        <v>21</v>
      </c>
      <c r="P24" s="117" t="s">
        <v>118</v>
      </c>
      <c r="Q24" s="117" t="s">
        <v>108</v>
      </c>
      <c r="R24" s="118">
        <f>P24*Q24</f>
        <v>0.0036297</v>
      </c>
      <c r="S24" s="119" t="s">
        <v>106</v>
      </c>
    </row>
    <row r="25" ht="6" customHeight="1"/>
    <row r="26" ht="22" customHeight="1" spans="1:21">
      <c r="A26" s="116" t="s">
        <v>119</v>
      </c>
      <c r="B26" s="117" t="s">
        <v>51</v>
      </c>
      <c r="C26" s="117" t="s">
        <v>120</v>
      </c>
      <c r="D26" s="117" t="s">
        <v>24</v>
      </c>
      <c r="E26" s="117" t="s">
        <v>25</v>
      </c>
      <c r="F26" s="117">
        <v>4</v>
      </c>
      <c r="G26" s="117">
        <v>8.54</v>
      </c>
      <c r="H26" s="117" t="s">
        <v>53</v>
      </c>
      <c r="I26" s="117" t="s">
        <v>53</v>
      </c>
      <c r="J26" s="117" t="s">
        <v>37</v>
      </c>
      <c r="K26" s="123">
        <f>L26/(F26*H26)</f>
        <v>34</v>
      </c>
      <c r="L26" s="117" t="s">
        <v>121</v>
      </c>
      <c r="M26" s="117">
        <v>4</v>
      </c>
      <c r="N26" s="117">
        <v>1485</v>
      </c>
      <c r="O26" s="117">
        <v>46</v>
      </c>
      <c r="P26" s="117" t="s">
        <v>122</v>
      </c>
      <c r="Q26" s="117" t="s">
        <v>123</v>
      </c>
      <c r="R26" s="118">
        <f>P26*Q26</f>
        <v>0.002697</v>
      </c>
      <c r="S26" s="119" t="s">
        <v>106</v>
      </c>
      <c r="U26" s="124" t="s">
        <v>124</v>
      </c>
    </row>
    <row r="27" ht="22" customHeight="1" spans="1:21">
      <c r="A27" s="122"/>
      <c r="B27" s="122"/>
      <c r="C27" s="122"/>
      <c r="D27" s="84" t="s">
        <v>72</v>
      </c>
      <c r="E27" s="84" t="s">
        <v>25</v>
      </c>
      <c r="F27" s="84">
        <v>32</v>
      </c>
      <c r="G27" s="84">
        <v>5.68</v>
      </c>
      <c r="H27" s="84" t="s">
        <v>125</v>
      </c>
      <c r="I27" s="84" t="s">
        <v>53</v>
      </c>
      <c r="J27" s="84" t="s">
        <v>126</v>
      </c>
      <c r="K27" s="97">
        <f>L27/(F27*H27)</f>
        <v>18.4166666666667</v>
      </c>
      <c r="L27" s="84" t="s">
        <v>127</v>
      </c>
      <c r="M27" s="84">
        <v>39</v>
      </c>
      <c r="N27" s="84">
        <v>10189</v>
      </c>
      <c r="O27" s="84">
        <v>122</v>
      </c>
      <c r="P27" s="84" t="s">
        <v>128</v>
      </c>
      <c r="Q27" s="84" t="s">
        <v>105</v>
      </c>
      <c r="R27" s="102">
        <f t="shared" ref="R27:R31" si="2">Q27*P27</f>
        <v>0.00384</v>
      </c>
      <c r="S27" s="98" t="s">
        <v>65</v>
      </c>
      <c r="U27" s="124"/>
    </row>
    <row r="28" ht="6" customHeight="1"/>
    <row r="29" ht="22" customHeight="1" spans="1:21">
      <c r="A29" s="112" t="s">
        <v>129</v>
      </c>
      <c r="B29" s="84" t="s">
        <v>130</v>
      </c>
      <c r="C29" s="84" t="s">
        <v>131</v>
      </c>
      <c r="D29" s="84" t="s">
        <v>24</v>
      </c>
      <c r="E29" s="84" t="s">
        <v>25</v>
      </c>
      <c r="F29" s="84">
        <v>232</v>
      </c>
      <c r="G29" s="84">
        <v>4.36</v>
      </c>
      <c r="H29" s="84" t="s">
        <v>132</v>
      </c>
      <c r="I29" s="84" t="s">
        <v>133</v>
      </c>
      <c r="J29" s="84" t="s">
        <v>134</v>
      </c>
      <c r="K29" s="97">
        <f>L29/(F29*H29)</f>
        <v>19.9431534232884</v>
      </c>
      <c r="L29" s="84" t="s">
        <v>135</v>
      </c>
      <c r="M29" s="84">
        <v>293</v>
      </c>
      <c r="N29" s="84">
        <v>89613</v>
      </c>
      <c r="O29" s="84">
        <v>1478</v>
      </c>
      <c r="P29" s="84" t="s">
        <v>136</v>
      </c>
      <c r="Q29" s="84" t="s">
        <v>137</v>
      </c>
      <c r="R29" s="102">
        <f t="shared" si="2"/>
        <v>0.003267</v>
      </c>
      <c r="S29" s="98" t="s">
        <v>49</v>
      </c>
      <c r="T29" s="109" t="s">
        <v>33</v>
      </c>
    </row>
    <row r="30" ht="6" customHeight="1"/>
    <row r="31" ht="22" customHeight="1" spans="1:21">
      <c r="A31" s="120" t="s">
        <v>138</v>
      </c>
      <c r="B31" s="85" t="s">
        <v>139</v>
      </c>
      <c r="C31" s="85" t="s">
        <v>140</v>
      </c>
      <c r="D31" s="85" t="s">
        <v>24</v>
      </c>
      <c r="E31" s="85" t="s">
        <v>25</v>
      </c>
      <c r="F31" s="85">
        <v>96</v>
      </c>
      <c r="G31" s="85">
        <v>6.88</v>
      </c>
      <c r="H31" s="85" t="s">
        <v>141</v>
      </c>
      <c r="I31" s="85" t="s">
        <v>142</v>
      </c>
      <c r="J31" s="85" t="s">
        <v>143</v>
      </c>
      <c r="K31" s="94">
        <f>L31/(F31*H31)</f>
        <v>37.5538130381304</v>
      </c>
      <c r="L31" s="85" t="s">
        <v>144</v>
      </c>
      <c r="M31" s="85">
        <v>142</v>
      </c>
      <c r="N31" s="85">
        <v>53519</v>
      </c>
      <c r="O31" s="85">
        <v>546</v>
      </c>
      <c r="P31" s="85" t="s">
        <v>145</v>
      </c>
      <c r="Q31" s="85" t="s">
        <v>146</v>
      </c>
      <c r="R31" s="93">
        <f t="shared" si="2"/>
        <v>0.002652</v>
      </c>
      <c r="S31" s="95" t="s">
        <v>49</v>
      </c>
    </row>
    <row r="32" ht="6" customHeight="1"/>
    <row r="33" ht="22" customHeight="1" spans="1:21">
      <c r="A33" s="120" t="s">
        <v>147</v>
      </c>
      <c r="B33" s="85" t="s">
        <v>148</v>
      </c>
      <c r="C33" s="85" t="s">
        <v>149</v>
      </c>
      <c r="D33" s="85" t="s">
        <v>24</v>
      </c>
      <c r="E33" s="85" t="s">
        <v>25</v>
      </c>
      <c r="F33" s="85">
        <v>27</v>
      </c>
      <c r="G33" s="85">
        <v>3.68</v>
      </c>
      <c r="H33" s="85" t="s">
        <v>108</v>
      </c>
      <c r="I33" s="85" t="s">
        <v>90</v>
      </c>
      <c r="J33" s="85" t="s">
        <v>90</v>
      </c>
      <c r="K33" s="94">
        <f>L33/(F33*H33)</f>
        <v>11.9007896785675</v>
      </c>
      <c r="L33" s="85" t="s">
        <v>150</v>
      </c>
      <c r="M33" s="85">
        <v>29</v>
      </c>
      <c r="N33" s="85">
        <v>7620</v>
      </c>
      <c r="O33" s="85">
        <v>183</v>
      </c>
      <c r="P33" s="85" t="s">
        <v>151</v>
      </c>
      <c r="Q33" s="85" t="s">
        <v>152</v>
      </c>
      <c r="R33" s="93">
        <f>Q33*P33</f>
        <v>0.003792</v>
      </c>
      <c r="S33" s="95" t="s">
        <v>41</v>
      </c>
      <c r="T33" s="109" t="s">
        <v>33</v>
      </c>
    </row>
    <row r="34" ht="6" customHeight="1"/>
    <row r="35" ht="22" customHeight="1" spans="1:21">
      <c r="A35" s="125" t="s">
        <v>153</v>
      </c>
      <c r="B35" s="117" t="s">
        <v>148</v>
      </c>
      <c r="C35" s="117" t="s">
        <v>154</v>
      </c>
      <c r="D35" s="117" t="s">
        <v>24</v>
      </c>
      <c r="E35" s="117" t="s">
        <v>25</v>
      </c>
      <c r="F35" s="117">
        <v>6</v>
      </c>
      <c r="G35" s="117">
        <v>5.49</v>
      </c>
      <c r="H35" s="117" t="s">
        <v>44</v>
      </c>
      <c r="I35" s="117" t="s">
        <v>37</v>
      </c>
      <c r="J35" s="117" t="s">
        <v>108</v>
      </c>
      <c r="K35" s="123">
        <f>L35/(F35*H35)</f>
        <v>32.934131736527</v>
      </c>
      <c r="L35" s="117" t="s">
        <v>155</v>
      </c>
      <c r="M35" s="117">
        <v>6</v>
      </c>
      <c r="N35" s="117">
        <v>1741</v>
      </c>
      <c r="O35" s="117">
        <v>22</v>
      </c>
      <c r="P35" s="117" t="s">
        <v>156</v>
      </c>
      <c r="Q35" s="117" t="s">
        <v>157</v>
      </c>
      <c r="R35" s="118">
        <f>P35*Q35</f>
        <v>0.0034398</v>
      </c>
      <c r="S35" s="119" t="s">
        <v>100</v>
      </c>
    </row>
    <row r="36" ht="6" customHeight="1"/>
    <row r="37" ht="22" customHeight="1" spans="1:21">
      <c r="A37" s="125" t="s">
        <v>158</v>
      </c>
      <c r="B37" s="117" t="s">
        <v>159</v>
      </c>
      <c r="C37" s="117" t="s">
        <v>159</v>
      </c>
      <c r="D37" s="117" t="s">
        <v>24</v>
      </c>
      <c r="E37" s="117" t="s">
        <v>25</v>
      </c>
      <c r="F37" s="117">
        <v>7</v>
      </c>
      <c r="G37" s="117">
        <v>6.93</v>
      </c>
      <c r="H37" s="117" t="s">
        <v>160</v>
      </c>
      <c r="I37" s="117" t="s">
        <v>160</v>
      </c>
      <c r="J37" s="117" t="s">
        <v>160</v>
      </c>
      <c r="K37" s="123">
        <f>L37/(F37*H37)</f>
        <v>75.9240759240759</v>
      </c>
      <c r="L37" s="117" t="s">
        <v>161</v>
      </c>
      <c r="M37" s="117">
        <v>11</v>
      </c>
      <c r="N37" s="117">
        <v>5360</v>
      </c>
      <c r="O37" s="117">
        <v>60</v>
      </c>
      <c r="P37" s="117" t="s">
        <v>162</v>
      </c>
      <c r="Q37" s="117" t="s">
        <v>163</v>
      </c>
      <c r="R37" s="118">
        <f>P37*Q37</f>
        <v>0.0020496</v>
      </c>
      <c r="S37" s="119" t="s">
        <v>100</v>
      </c>
    </row>
    <row r="38" ht="6" customHeight="1"/>
    <row r="39" ht="22" customHeight="1" spans="1:21">
      <c r="A39" s="126" t="s">
        <v>164</v>
      </c>
      <c r="B39" s="86" t="s">
        <v>159</v>
      </c>
      <c r="C39" s="86" t="s">
        <v>159</v>
      </c>
      <c r="D39" s="86" t="s">
        <v>24</v>
      </c>
      <c r="E39" s="86" t="s">
        <v>25</v>
      </c>
      <c r="F39" s="86">
        <v>11</v>
      </c>
      <c r="G39" s="86">
        <v>9.01</v>
      </c>
      <c r="H39" s="86" t="s">
        <v>165</v>
      </c>
      <c r="I39" s="86" t="s">
        <v>166</v>
      </c>
      <c r="J39" s="86" t="s">
        <v>166</v>
      </c>
      <c r="K39" s="114">
        <f>L39/(F39*H39)</f>
        <v>38.2117882117882</v>
      </c>
      <c r="L39" s="86" t="s">
        <v>167</v>
      </c>
      <c r="M39" s="86">
        <v>17</v>
      </c>
      <c r="N39" s="86">
        <v>6241</v>
      </c>
      <c r="O39" s="86">
        <v>67</v>
      </c>
      <c r="P39" s="86" t="s">
        <v>168</v>
      </c>
      <c r="Q39" s="86" t="s">
        <v>169</v>
      </c>
      <c r="R39" s="115">
        <f t="shared" ref="R39:R43" si="3">Q39*P39</f>
        <v>0.0027178</v>
      </c>
      <c r="S39" s="107" t="s">
        <v>41</v>
      </c>
    </row>
    <row r="40" ht="6" customHeight="1"/>
    <row r="41" ht="22" customHeight="1" spans="1:21">
      <c r="A41" s="126" t="s">
        <v>170</v>
      </c>
      <c r="B41" s="86" t="s">
        <v>159</v>
      </c>
      <c r="C41" s="86" t="s">
        <v>159</v>
      </c>
      <c r="D41" s="86" t="s">
        <v>24</v>
      </c>
      <c r="E41" s="86" t="s">
        <v>25</v>
      </c>
      <c r="F41" s="86">
        <v>65</v>
      </c>
      <c r="G41" s="86">
        <v>11</v>
      </c>
      <c r="H41" s="86" t="s">
        <v>171</v>
      </c>
      <c r="I41" s="86" t="s">
        <v>172</v>
      </c>
      <c r="J41" s="86" t="s">
        <v>173</v>
      </c>
      <c r="K41" s="114">
        <f>L41/(F41*H41)</f>
        <v>65.3309481216458</v>
      </c>
      <c r="L41" s="86" t="s">
        <v>174</v>
      </c>
      <c r="M41" s="86">
        <v>83</v>
      </c>
      <c r="N41" s="86">
        <v>28683</v>
      </c>
      <c r="O41" s="86">
        <v>453</v>
      </c>
      <c r="P41" s="86" t="s">
        <v>175</v>
      </c>
      <c r="Q41" s="86" t="s">
        <v>163</v>
      </c>
      <c r="R41" s="115">
        <f t="shared" si="3"/>
        <v>0.0028914</v>
      </c>
      <c r="S41" s="107" t="s">
        <v>49</v>
      </c>
    </row>
    <row r="42" ht="6" customHeight="1"/>
    <row r="43" ht="22" customHeight="1" spans="1:21">
      <c r="A43" s="126" t="s">
        <v>176</v>
      </c>
      <c r="B43" s="86" t="s">
        <v>159</v>
      </c>
      <c r="C43" s="86" t="s">
        <v>159</v>
      </c>
      <c r="D43" s="86" t="s">
        <v>24</v>
      </c>
      <c r="E43" s="86" t="s">
        <v>25</v>
      </c>
      <c r="F43" s="86">
        <v>17</v>
      </c>
      <c r="G43" s="86">
        <v>8.21</v>
      </c>
      <c r="H43" s="86" t="s">
        <v>177</v>
      </c>
      <c r="I43" s="86" t="s">
        <v>178</v>
      </c>
      <c r="J43" s="86" t="s">
        <v>179</v>
      </c>
      <c r="K43" s="114">
        <f>L43/(F43*H43)</f>
        <v>12.7877237851662</v>
      </c>
      <c r="L43" s="86" t="s">
        <v>180</v>
      </c>
      <c r="M43" s="86">
        <v>14</v>
      </c>
      <c r="N43" s="86">
        <v>3432</v>
      </c>
      <c r="O43" s="86">
        <v>118</v>
      </c>
      <c r="P43" s="86" t="s">
        <v>181</v>
      </c>
      <c r="Q43" s="86" t="s">
        <v>182</v>
      </c>
      <c r="R43" s="115">
        <f t="shared" si="3"/>
        <v>0.0040936</v>
      </c>
      <c r="S43" s="107" t="s">
        <v>41</v>
      </c>
      <c r="T43" s="109" t="s">
        <v>33</v>
      </c>
      <c r="U43" t="s">
        <v>94</v>
      </c>
    </row>
    <row r="44" ht="6" customHeight="1"/>
    <row r="45" ht="22" customHeight="1" spans="1:21">
      <c r="A45" s="127" t="s">
        <v>183</v>
      </c>
      <c r="B45" s="85" t="s">
        <v>159</v>
      </c>
      <c r="C45" s="85" t="s">
        <v>159</v>
      </c>
      <c r="D45" s="85" t="s">
        <v>24</v>
      </c>
      <c r="E45" s="85" t="s">
        <v>25</v>
      </c>
      <c r="F45" s="85">
        <v>41</v>
      </c>
      <c r="G45" s="85">
        <v>7.48</v>
      </c>
      <c r="H45" s="85" t="s">
        <v>184</v>
      </c>
      <c r="I45" s="85" t="s">
        <v>185</v>
      </c>
      <c r="J45" s="85" t="s">
        <v>186</v>
      </c>
      <c r="K45" s="94">
        <f>L45/(F45*H45)</f>
        <v>21.3126106024467</v>
      </c>
      <c r="L45" s="85" t="s">
        <v>187</v>
      </c>
      <c r="M45" s="85">
        <v>37</v>
      </c>
      <c r="N45" s="85">
        <v>9937</v>
      </c>
      <c r="O45" s="85">
        <v>304</v>
      </c>
      <c r="P45" s="85" t="s">
        <v>188</v>
      </c>
      <c r="Q45" s="85" t="s">
        <v>185</v>
      </c>
      <c r="R45" s="93">
        <f>Q45*P45</f>
        <v>0.0037332</v>
      </c>
      <c r="S45" s="95" t="s">
        <v>49</v>
      </c>
      <c r="T45" s="109" t="s">
        <v>33</v>
      </c>
    </row>
    <row r="46" ht="6" customHeight="1"/>
    <row r="47" ht="22" customHeight="1" spans="1:21">
      <c r="A47" s="125" t="s">
        <v>189</v>
      </c>
      <c r="B47" s="117" t="s">
        <v>190</v>
      </c>
      <c r="C47" s="117" t="s">
        <v>191</v>
      </c>
      <c r="D47" s="117" t="s">
        <v>24</v>
      </c>
      <c r="E47" s="117" t="s">
        <v>25</v>
      </c>
      <c r="F47" s="117">
        <v>8</v>
      </c>
      <c r="G47" s="117">
        <v>18.76</v>
      </c>
      <c r="H47" s="117" t="s">
        <v>53</v>
      </c>
      <c r="I47" s="117" t="s">
        <v>37</v>
      </c>
      <c r="J47" s="117" t="s">
        <v>37</v>
      </c>
      <c r="K47" s="123">
        <f>L47/(F47*H47)</f>
        <v>84.5</v>
      </c>
      <c r="L47" s="117" t="s">
        <v>192</v>
      </c>
      <c r="M47" s="117">
        <v>9</v>
      </c>
      <c r="N47" s="117">
        <v>4335</v>
      </c>
      <c r="O47" s="117">
        <v>148</v>
      </c>
      <c r="P47" s="117" t="s">
        <v>193</v>
      </c>
      <c r="Q47" s="117" t="s">
        <v>194</v>
      </c>
      <c r="R47" s="118">
        <f t="shared" ref="R47:R51" si="4">P47*Q47</f>
        <v>0.0020801</v>
      </c>
      <c r="S47" s="119" t="s">
        <v>100</v>
      </c>
    </row>
    <row r="48" ht="6" customHeight="1"/>
    <row r="49" ht="22" customHeight="1" spans="1:19">
      <c r="A49" s="125" t="s">
        <v>195</v>
      </c>
      <c r="B49" s="117" t="s">
        <v>159</v>
      </c>
      <c r="C49" s="117" t="s">
        <v>159</v>
      </c>
      <c r="D49" s="117" t="s">
        <v>24</v>
      </c>
      <c r="E49" s="117" t="s">
        <v>25</v>
      </c>
      <c r="F49" s="117">
        <v>5</v>
      </c>
      <c r="G49" s="117">
        <v>15.52</v>
      </c>
      <c r="H49" s="117" t="s">
        <v>116</v>
      </c>
      <c r="I49" s="117" t="s">
        <v>37</v>
      </c>
      <c r="J49" s="117" t="s">
        <v>37</v>
      </c>
      <c r="K49" s="123">
        <f>L49/(F49*H49)</f>
        <v>39</v>
      </c>
      <c r="L49" s="117" t="s">
        <v>196</v>
      </c>
      <c r="M49" s="117">
        <v>5</v>
      </c>
      <c r="N49" s="117">
        <v>2380</v>
      </c>
      <c r="O49" s="117">
        <v>65</v>
      </c>
      <c r="P49" s="117" t="s">
        <v>197</v>
      </c>
      <c r="Q49" s="117" t="s">
        <v>198</v>
      </c>
      <c r="R49" s="118">
        <f t="shared" si="4"/>
        <v>0.0021021</v>
      </c>
      <c r="S49" s="119" t="s">
        <v>100</v>
      </c>
    </row>
    <row r="50" ht="6" customHeight="1"/>
    <row r="51" ht="22" customHeight="1" spans="1:19">
      <c r="A51" s="125" t="s">
        <v>199</v>
      </c>
      <c r="B51" s="117" t="s">
        <v>190</v>
      </c>
      <c r="C51" s="117" t="s">
        <v>200</v>
      </c>
      <c r="D51" s="117" t="s">
        <v>24</v>
      </c>
      <c r="E51" s="117" t="s">
        <v>25</v>
      </c>
      <c r="F51" s="117">
        <v>3</v>
      </c>
      <c r="G51" s="117">
        <v>23.13</v>
      </c>
      <c r="H51" s="117" t="s">
        <v>37</v>
      </c>
      <c r="I51" s="117" t="s">
        <v>37</v>
      </c>
      <c r="J51" s="117" t="s">
        <v>37</v>
      </c>
      <c r="K51" s="123" t="str">
        <f>IFERROR(L51/(F51*H51),"—")</f>
        <v>—</v>
      </c>
      <c r="L51" s="117" t="s">
        <v>201</v>
      </c>
      <c r="M51" s="117">
        <v>5</v>
      </c>
      <c r="N51" s="117">
        <v>9077</v>
      </c>
      <c r="O51" s="117">
        <v>65</v>
      </c>
      <c r="P51" s="117" t="s">
        <v>202</v>
      </c>
      <c r="Q51" s="117" t="s">
        <v>198</v>
      </c>
      <c r="R51" s="118">
        <f t="shared" si="4"/>
        <v>0.0005544</v>
      </c>
      <c r="S51" s="119" t="s">
        <v>100</v>
      </c>
    </row>
    <row r="52" ht="6" customHeight="1"/>
    <row r="53" ht="22" customHeight="1" spans="1:19">
      <c r="A53" s="126" t="s">
        <v>203</v>
      </c>
      <c r="B53" s="86" t="s">
        <v>204</v>
      </c>
      <c r="C53" s="86" t="s">
        <v>205</v>
      </c>
      <c r="D53" s="86" t="s">
        <v>24</v>
      </c>
      <c r="E53" s="86" t="s">
        <v>25</v>
      </c>
      <c r="F53" s="86">
        <v>95</v>
      </c>
      <c r="G53" s="86">
        <v>10.4</v>
      </c>
      <c r="H53" s="86" t="s">
        <v>206</v>
      </c>
      <c r="I53" s="86" t="s">
        <v>207</v>
      </c>
      <c r="J53" s="86" t="s">
        <v>208</v>
      </c>
      <c r="K53" s="114">
        <f>L53/(F53*H53)</f>
        <v>79.5060276389297</v>
      </c>
      <c r="L53" s="86" t="s">
        <v>209</v>
      </c>
      <c r="M53" s="86">
        <v>130</v>
      </c>
      <c r="N53" s="86">
        <v>69509</v>
      </c>
      <c r="O53" s="86">
        <v>886</v>
      </c>
      <c r="P53" s="86" t="s">
        <v>210</v>
      </c>
      <c r="Q53" s="86" t="s">
        <v>211</v>
      </c>
      <c r="R53" s="115">
        <f>Q53*P53</f>
        <v>0.0018669</v>
      </c>
      <c r="S53" s="107" t="s">
        <v>49</v>
      </c>
    </row>
    <row r="54" ht="6" customHeight="1"/>
    <row r="55" ht="22" customHeight="1" spans="1:19">
      <c r="A55" s="125" t="s">
        <v>212</v>
      </c>
      <c r="B55" s="117" t="s">
        <v>204</v>
      </c>
      <c r="C55" s="117" t="s">
        <v>213</v>
      </c>
      <c r="D55" s="117" t="s">
        <v>24</v>
      </c>
      <c r="E55" s="117" t="s">
        <v>25</v>
      </c>
      <c r="F55" s="117">
        <v>6</v>
      </c>
      <c r="G55" s="117">
        <v>14.24</v>
      </c>
      <c r="H55" s="117" t="s">
        <v>108</v>
      </c>
      <c r="I55" s="117" t="s">
        <v>37</v>
      </c>
      <c r="J55" s="117" t="s">
        <v>37</v>
      </c>
      <c r="K55" s="123">
        <f>L55/(F55*H55)</f>
        <v>78.5785785785786</v>
      </c>
      <c r="L55" s="117" t="s">
        <v>214</v>
      </c>
      <c r="M55" s="117">
        <v>11</v>
      </c>
      <c r="N55" s="117">
        <v>7612</v>
      </c>
      <c r="O55" s="117">
        <v>102</v>
      </c>
      <c r="P55" s="117" t="s">
        <v>215</v>
      </c>
      <c r="Q55" s="117" t="s">
        <v>216</v>
      </c>
      <c r="R55" s="118">
        <f>P55*Q55</f>
        <v>0.0014472</v>
      </c>
      <c r="S55" s="119" t="s">
        <v>100</v>
      </c>
    </row>
    <row r="56" ht="6" customHeight="1"/>
    <row r="57" ht="22" customHeight="1" spans="1:19">
      <c r="A57" s="125" t="s">
        <v>217</v>
      </c>
      <c r="B57" s="117" t="s">
        <v>204</v>
      </c>
      <c r="C57" s="117" t="s">
        <v>205</v>
      </c>
      <c r="D57" s="117" t="s">
        <v>72</v>
      </c>
      <c r="E57" s="117" t="s">
        <v>25</v>
      </c>
      <c r="F57" s="117">
        <v>9</v>
      </c>
      <c r="G57" s="117">
        <v>4.13</v>
      </c>
      <c r="H57" s="117" t="s">
        <v>218</v>
      </c>
      <c r="I57" s="117" t="s">
        <v>108</v>
      </c>
      <c r="J57" s="117" t="s">
        <v>108</v>
      </c>
      <c r="K57" s="123">
        <f>L57/(F57*H57)</f>
        <v>15.5155155155155</v>
      </c>
      <c r="L57" s="117" t="s">
        <v>219</v>
      </c>
      <c r="M57" s="117">
        <v>15</v>
      </c>
      <c r="N57" s="117">
        <v>2793</v>
      </c>
      <c r="O57" s="117">
        <v>62</v>
      </c>
      <c r="P57" s="117" t="s">
        <v>220</v>
      </c>
      <c r="Q57" s="117" t="s">
        <v>221</v>
      </c>
      <c r="R57" s="118">
        <f>P57*Q57</f>
        <v>0.0053724</v>
      </c>
      <c r="S57" s="119" t="s">
        <v>100</v>
      </c>
    </row>
    <row r="58" ht="6" customHeight="1"/>
    <row r="59" ht="22" customHeight="1" spans="1:19">
      <c r="A59" s="113" t="s">
        <v>222</v>
      </c>
      <c r="B59" s="86" t="s">
        <v>204</v>
      </c>
      <c r="C59" s="86" t="s">
        <v>205</v>
      </c>
      <c r="D59" s="86" t="s">
        <v>24</v>
      </c>
      <c r="E59" s="86" t="s">
        <v>25</v>
      </c>
      <c r="F59" s="86">
        <v>24</v>
      </c>
      <c r="G59" s="86">
        <v>5.6</v>
      </c>
      <c r="H59" s="86" t="s">
        <v>44</v>
      </c>
      <c r="I59" s="86" t="s">
        <v>223</v>
      </c>
      <c r="J59" s="86" t="s">
        <v>223</v>
      </c>
      <c r="K59" s="114">
        <f>L59/(F59*H59)</f>
        <v>39.1716566866268</v>
      </c>
      <c r="L59" s="86" t="s">
        <v>214</v>
      </c>
      <c r="M59" s="86">
        <v>28</v>
      </c>
      <c r="N59" s="86">
        <v>5234</v>
      </c>
      <c r="O59" s="86">
        <v>130</v>
      </c>
      <c r="P59" s="86" t="s">
        <v>224</v>
      </c>
      <c r="Q59" s="86" t="s">
        <v>171</v>
      </c>
      <c r="R59" s="115">
        <f t="shared" ref="R59:R65" si="5">Q59*P59</f>
        <v>0.005332</v>
      </c>
      <c r="S59" s="107" t="s">
        <v>225</v>
      </c>
    </row>
    <row r="60" ht="22" customHeight="1" spans="1:19">
      <c r="A60" s="121"/>
      <c r="B60" s="121"/>
      <c r="C60" s="121"/>
      <c r="D60" s="84" t="s">
        <v>24</v>
      </c>
      <c r="E60" s="84" t="s">
        <v>66</v>
      </c>
      <c r="F60" s="84">
        <v>12</v>
      </c>
      <c r="G60" s="84">
        <v>8.89</v>
      </c>
      <c r="H60" s="84" t="s">
        <v>96</v>
      </c>
      <c r="I60" s="84" t="s">
        <v>53</v>
      </c>
      <c r="J60" s="84" t="s">
        <v>44</v>
      </c>
      <c r="K60" s="97">
        <f>L60/(F60*H60)</f>
        <v>23.6666666666667</v>
      </c>
      <c r="L60" s="84" t="s">
        <v>226</v>
      </c>
      <c r="M60" s="84">
        <v>16</v>
      </c>
      <c r="N60" s="84">
        <v>3221</v>
      </c>
      <c r="O60" s="84">
        <v>34</v>
      </c>
      <c r="P60" s="84" t="s">
        <v>227</v>
      </c>
      <c r="Q60" s="84" t="s">
        <v>228</v>
      </c>
      <c r="R60" s="102">
        <f t="shared" si="5"/>
        <v>0.0049926</v>
      </c>
      <c r="S60" s="98" t="s">
        <v>225</v>
      </c>
    </row>
    <row r="61" ht="22" customHeight="1" spans="1:19">
      <c r="A61" s="121"/>
      <c r="B61" s="121"/>
      <c r="C61" s="121"/>
      <c r="D61" s="84" t="s">
        <v>72</v>
      </c>
      <c r="E61" s="84" t="s">
        <v>25</v>
      </c>
      <c r="F61" s="84">
        <v>76</v>
      </c>
      <c r="G61" s="84">
        <v>3.18</v>
      </c>
      <c r="H61" s="84" t="s">
        <v>229</v>
      </c>
      <c r="I61" s="84" t="s">
        <v>152</v>
      </c>
      <c r="J61" s="84" t="s">
        <v>64</v>
      </c>
      <c r="K61" s="97">
        <f>L61/(F61*H61)</f>
        <v>15.7395069953364</v>
      </c>
      <c r="L61" s="84" t="s">
        <v>230</v>
      </c>
      <c r="M61" s="84">
        <v>119</v>
      </c>
      <c r="N61" s="84">
        <v>14967</v>
      </c>
      <c r="O61" s="84">
        <v>263</v>
      </c>
      <c r="P61" s="84" t="s">
        <v>231</v>
      </c>
      <c r="Q61" s="84" t="s">
        <v>232</v>
      </c>
      <c r="R61" s="102">
        <f t="shared" si="5"/>
        <v>0.0079552</v>
      </c>
      <c r="S61" s="98" t="s">
        <v>65</v>
      </c>
    </row>
    <row r="62" ht="22" customHeight="1" spans="1:19">
      <c r="A62" s="122"/>
      <c r="B62" s="122"/>
      <c r="C62" s="122"/>
      <c r="D62" s="117" t="s">
        <v>72</v>
      </c>
      <c r="E62" s="117" t="s">
        <v>66</v>
      </c>
      <c r="F62" s="117">
        <v>1</v>
      </c>
      <c r="G62" s="117">
        <v>15.44</v>
      </c>
      <c r="H62" s="117" t="s">
        <v>233</v>
      </c>
      <c r="I62" s="117" t="s">
        <v>37</v>
      </c>
      <c r="J62" s="117" t="s">
        <v>37</v>
      </c>
      <c r="K62" s="123">
        <f>L62/(F62*H62)</f>
        <v>15</v>
      </c>
      <c r="L62" s="117" t="s">
        <v>234</v>
      </c>
      <c r="M62" s="117">
        <v>1</v>
      </c>
      <c r="N62" s="117">
        <v>520</v>
      </c>
      <c r="O62" s="117">
        <v>8</v>
      </c>
      <c r="P62" s="117" t="s">
        <v>235</v>
      </c>
      <c r="Q62" s="117" t="s">
        <v>236</v>
      </c>
      <c r="R62" s="118">
        <f>P62*Q62</f>
        <v>0.001925</v>
      </c>
      <c r="S62" s="119" t="s">
        <v>106</v>
      </c>
    </row>
    <row r="63" ht="6" customHeight="1"/>
    <row r="64" ht="22" customHeight="1" spans="1:19">
      <c r="A64" s="126" t="s">
        <v>237</v>
      </c>
      <c r="B64" s="86" t="s">
        <v>204</v>
      </c>
      <c r="C64" s="86" t="s">
        <v>213</v>
      </c>
      <c r="D64" s="86" t="s">
        <v>24</v>
      </c>
      <c r="E64" s="86" t="s">
        <v>66</v>
      </c>
      <c r="F64" s="86">
        <v>21</v>
      </c>
      <c r="G64" s="86">
        <v>8.15</v>
      </c>
      <c r="H64" s="86" t="s">
        <v>238</v>
      </c>
      <c r="I64" s="86" t="s">
        <v>207</v>
      </c>
      <c r="J64" s="86" t="s">
        <v>207</v>
      </c>
      <c r="K64" s="114">
        <f>L64/(F64*H64)</f>
        <v>43.4565434565435</v>
      </c>
      <c r="L64" s="86" t="s">
        <v>239</v>
      </c>
      <c r="M64" s="86">
        <v>32</v>
      </c>
      <c r="N64" s="86">
        <v>7486</v>
      </c>
      <c r="O64" s="86">
        <v>72</v>
      </c>
      <c r="P64" s="86" t="s">
        <v>240</v>
      </c>
      <c r="Q64" s="86" t="s">
        <v>218</v>
      </c>
      <c r="R64" s="115">
        <f t="shared" si="5"/>
        <v>0.0042624</v>
      </c>
      <c r="S64" s="107" t="s">
        <v>225</v>
      </c>
    </row>
    <row r="65" ht="22" customHeight="1" spans="1:19">
      <c r="A65" s="121"/>
      <c r="B65" s="121"/>
      <c r="C65" s="121"/>
      <c r="D65" s="86" t="s">
        <v>24</v>
      </c>
      <c r="E65" s="86" t="s">
        <v>25</v>
      </c>
      <c r="F65" s="86">
        <v>15</v>
      </c>
      <c r="G65" s="86">
        <v>15.44</v>
      </c>
      <c r="H65" s="86" t="s">
        <v>73</v>
      </c>
      <c r="I65" s="86" t="s">
        <v>241</v>
      </c>
      <c r="J65" s="86" t="s">
        <v>242</v>
      </c>
      <c r="K65" s="114">
        <f>L65/(F65*H65)</f>
        <v>65.41822721598</v>
      </c>
      <c r="L65" s="86" t="s">
        <v>243</v>
      </c>
      <c r="M65" s="86">
        <v>17</v>
      </c>
      <c r="N65" s="86">
        <v>12228</v>
      </c>
      <c r="O65" s="86">
        <v>142</v>
      </c>
      <c r="P65" s="86" t="s">
        <v>244</v>
      </c>
      <c r="Q65" s="86" t="s">
        <v>245</v>
      </c>
      <c r="R65" s="115">
        <f t="shared" si="5"/>
        <v>0.001392</v>
      </c>
      <c r="S65" s="107" t="s">
        <v>246</v>
      </c>
    </row>
    <row r="66" ht="22" customHeight="1" spans="1:19">
      <c r="A66" s="121"/>
      <c r="B66" s="121"/>
      <c r="C66" s="121"/>
      <c r="D66" s="84" t="s">
        <v>72</v>
      </c>
      <c r="E66" s="84" t="s">
        <v>25</v>
      </c>
      <c r="F66" s="84">
        <v>53</v>
      </c>
      <c r="G66" s="84">
        <v>3.77</v>
      </c>
      <c r="H66" s="84" t="s">
        <v>247</v>
      </c>
      <c r="I66" s="84" t="s">
        <v>248</v>
      </c>
      <c r="J66" s="84" t="s">
        <v>249</v>
      </c>
      <c r="K66" s="97">
        <f>L66/(F66*H66)</f>
        <v>15.4827968923418</v>
      </c>
      <c r="L66" s="84" t="s">
        <v>250</v>
      </c>
      <c r="M66" s="84">
        <v>74</v>
      </c>
      <c r="N66" s="84">
        <v>10938</v>
      </c>
      <c r="O66" s="84">
        <v>285</v>
      </c>
      <c r="P66" s="84" t="s">
        <v>251</v>
      </c>
      <c r="Q66" s="84" t="s">
        <v>146</v>
      </c>
      <c r="R66" s="102">
        <f t="shared" ref="R66:R71" si="6">Q66*P66</f>
        <v>0.006786</v>
      </c>
      <c r="S66" s="98" t="s">
        <v>65</v>
      </c>
    </row>
    <row r="67" ht="22" customHeight="1" spans="1:19">
      <c r="A67" s="122"/>
      <c r="B67" s="122"/>
      <c r="C67" s="122"/>
      <c r="D67" s="117" t="s">
        <v>72</v>
      </c>
      <c r="E67" s="117" t="s">
        <v>66</v>
      </c>
      <c r="F67" s="117">
        <v>2</v>
      </c>
      <c r="G67" s="117">
        <v>8.07</v>
      </c>
      <c r="H67" s="117" t="s">
        <v>96</v>
      </c>
      <c r="I67" s="117" t="s">
        <v>37</v>
      </c>
      <c r="J67" s="117" t="s">
        <v>37</v>
      </c>
      <c r="K67" s="123">
        <f>L67/(F67*H67)</f>
        <v>32</v>
      </c>
      <c r="L67" s="117" t="s">
        <v>109</v>
      </c>
      <c r="M67" s="117">
        <v>4</v>
      </c>
      <c r="N67" s="117">
        <v>988</v>
      </c>
      <c r="O67" s="117">
        <v>17</v>
      </c>
      <c r="P67" s="117" t="s">
        <v>252</v>
      </c>
      <c r="Q67" s="117" t="s">
        <v>253</v>
      </c>
      <c r="R67" s="118">
        <f>P67*Q67</f>
        <v>0.004042</v>
      </c>
      <c r="S67" s="119" t="s">
        <v>106</v>
      </c>
    </row>
    <row r="68" ht="6" customHeight="1"/>
    <row r="69" ht="22" customHeight="1" spans="1:19">
      <c r="A69" s="126" t="s">
        <v>254</v>
      </c>
      <c r="B69" s="86" t="s">
        <v>204</v>
      </c>
      <c r="C69" s="86" t="s">
        <v>255</v>
      </c>
      <c r="D69" s="86" t="s">
        <v>72</v>
      </c>
      <c r="E69" s="86" t="s">
        <v>25</v>
      </c>
      <c r="F69" s="86">
        <v>10</v>
      </c>
      <c r="G69" s="86">
        <v>5.41</v>
      </c>
      <c r="H69" s="86" t="s">
        <v>45</v>
      </c>
      <c r="I69" s="86" t="s">
        <v>115</v>
      </c>
      <c r="J69" s="86" t="s">
        <v>37</v>
      </c>
      <c r="K69" s="114">
        <f>L69/(F69*H69)</f>
        <v>97</v>
      </c>
      <c r="L69" s="86" t="s">
        <v>256</v>
      </c>
      <c r="M69" s="86">
        <v>18</v>
      </c>
      <c r="N69" s="86">
        <v>5709</v>
      </c>
      <c r="O69" s="86">
        <v>81</v>
      </c>
      <c r="P69" s="86" t="s">
        <v>47</v>
      </c>
      <c r="Q69" s="86" t="s">
        <v>31</v>
      </c>
      <c r="R69" s="115">
        <f t="shared" si="6"/>
        <v>0.0031524</v>
      </c>
      <c r="S69" s="107" t="s">
        <v>41</v>
      </c>
    </row>
    <row r="70" ht="6" customHeight="1"/>
    <row r="71" ht="22" customHeight="1" spans="1:19">
      <c r="A71" s="126" t="s">
        <v>257</v>
      </c>
      <c r="B71" s="86" t="s">
        <v>204</v>
      </c>
      <c r="C71" s="86" t="s">
        <v>205</v>
      </c>
      <c r="D71" s="86" t="s">
        <v>24</v>
      </c>
      <c r="E71" s="86" t="s">
        <v>25</v>
      </c>
      <c r="F71" s="86">
        <v>31</v>
      </c>
      <c r="G71" s="86">
        <v>8.91</v>
      </c>
      <c r="H71" s="86" t="s">
        <v>258</v>
      </c>
      <c r="I71" s="86" t="s">
        <v>259</v>
      </c>
      <c r="J71" s="86" t="s">
        <v>260</v>
      </c>
      <c r="K71" s="114">
        <f>L71/(F71*H71)</f>
        <v>54.6674279189266</v>
      </c>
      <c r="L71" s="86" t="s">
        <v>261</v>
      </c>
      <c r="M71" s="86">
        <v>43</v>
      </c>
      <c r="N71" s="86">
        <v>14579</v>
      </c>
      <c r="O71" s="86">
        <v>180</v>
      </c>
      <c r="P71" s="86" t="s">
        <v>262</v>
      </c>
      <c r="Q71" s="86" t="s">
        <v>263</v>
      </c>
      <c r="R71" s="115">
        <f t="shared" si="6"/>
        <v>0.0029397</v>
      </c>
      <c r="S71" s="107" t="s">
        <v>49</v>
      </c>
    </row>
    <row r="72" ht="6" customHeight="1"/>
    <row r="73" ht="22" customHeight="1" spans="1:19">
      <c r="A73" s="125" t="s">
        <v>264</v>
      </c>
      <c r="B73" s="117" t="s">
        <v>204</v>
      </c>
      <c r="C73" s="117" t="s">
        <v>213</v>
      </c>
      <c r="D73" s="117" t="s">
        <v>72</v>
      </c>
      <c r="E73" s="117" t="s">
        <v>25</v>
      </c>
      <c r="F73" s="117">
        <v>7</v>
      </c>
      <c r="G73" s="117">
        <v>8.6</v>
      </c>
      <c r="H73" s="117" t="s">
        <v>160</v>
      </c>
      <c r="I73" s="117" t="s">
        <v>160</v>
      </c>
      <c r="J73" s="117" t="s">
        <v>37</v>
      </c>
      <c r="K73" s="123">
        <f>L73/(F73*H73)</f>
        <v>51.9480519480519</v>
      </c>
      <c r="L73" s="117" t="s">
        <v>265</v>
      </c>
      <c r="M73" s="117">
        <v>6</v>
      </c>
      <c r="N73" s="117">
        <v>1838</v>
      </c>
      <c r="O73" s="117">
        <v>26</v>
      </c>
      <c r="P73" s="117" t="s">
        <v>266</v>
      </c>
      <c r="Q73" s="117" t="s">
        <v>267</v>
      </c>
      <c r="R73" s="118">
        <f>P73*Q73</f>
        <v>0.0032571</v>
      </c>
      <c r="S73" s="119" t="s">
        <v>100</v>
      </c>
    </row>
    <row r="74" ht="6" customHeight="1"/>
    <row r="75" ht="22" customHeight="1" spans="1:19">
      <c r="A75" s="125" t="s">
        <v>268</v>
      </c>
      <c r="B75" s="117" t="s">
        <v>204</v>
      </c>
      <c r="C75" s="117" t="s">
        <v>205</v>
      </c>
      <c r="D75" s="117" t="s">
        <v>24</v>
      </c>
      <c r="E75" s="117" t="s">
        <v>25</v>
      </c>
      <c r="F75" s="117">
        <v>7</v>
      </c>
      <c r="G75" s="117">
        <v>14.12</v>
      </c>
      <c r="H75" s="117" t="s">
        <v>37</v>
      </c>
      <c r="I75" s="117" t="s">
        <v>160</v>
      </c>
      <c r="J75" s="117" t="s">
        <v>160</v>
      </c>
      <c r="K75" s="123" t="str">
        <f>IFERROR(L75/(F75*H75),"—")</f>
        <v>—</v>
      </c>
      <c r="L75" s="117" t="s">
        <v>269</v>
      </c>
      <c r="M75" s="117">
        <v>6</v>
      </c>
      <c r="N75" s="117">
        <v>2631</v>
      </c>
      <c r="O75" s="117">
        <v>43</v>
      </c>
      <c r="P75" s="117" t="s">
        <v>270</v>
      </c>
      <c r="Q75" s="117" t="s">
        <v>271</v>
      </c>
      <c r="R75" s="118">
        <f>P75*Q75</f>
        <v>0.002282</v>
      </c>
      <c r="S75" s="119" t="s">
        <v>57</v>
      </c>
    </row>
    <row r="76" ht="6" customHeight="1"/>
    <row r="77" ht="22" customHeight="1" spans="1:19">
      <c r="A77" s="127" t="s">
        <v>272</v>
      </c>
      <c r="B77" s="85" t="s">
        <v>204</v>
      </c>
      <c r="C77" s="85" t="s">
        <v>273</v>
      </c>
      <c r="D77" s="85" t="s">
        <v>24</v>
      </c>
      <c r="E77" s="85" t="s">
        <v>25</v>
      </c>
      <c r="F77" s="85">
        <v>11</v>
      </c>
      <c r="G77" s="85">
        <v>19.27</v>
      </c>
      <c r="H77" s="85" t="s">
        <v>165</v>
      </c>
      <c r="I77" s="85" t="s">
        <v>166</v>
      </c>
      <c r="J77" s="85" t="s">
        <v>28</v>
      </c>
      <c r="K77" s="94">
        <f>L77/(F77*H77)</f>
        <v>48.2017982017982</v>
      </c>
      <c r="L77" s="85" t="s">
        <v>274</v>
      </c>
      <c r="M77" s="85">
        <v>10</v>
      </c>
      <c r="N77" s="85">
        <v>6933</v>
      </c>
      <c r="O77" s="85">
        <v>132</v>
      </c>
      <c r="P77" s="85" t="s">
        <v>275</v>
      </c>
      <c r="Q77" s="85" t="s">
        <v>276</v>
      </c>
      <c r="R77" s="93">
        <f t="shared" ref="R77:R82" si="7">Q77*P77</f>
        <v>0.001444</v>
      </c>
      <c r="S77" s="95" t="s">
        <v>41</v>
      </c>
    </row>
    <row r="78" ht="6" customHeight="1"/>
    <row r="79" ht="22" customHeight="1" spans="1:19">
      <c r="A79" s="125" t="s">
        <v>277</v>
      </c>
      <c r="B79" s="117" t="s">
        <v>204</v>
      </c>
      <c r="C79" s="117" t="s">
        <v>278</v>
      </c>
      <c r="D79" s="117" t="s">
        <v>24</v>
      </c>
      <c r="E79" s="117" t="s">
        <v>25</v>
      </c>
      <c r="F79" s="117">
        <v>6</v>
      </c>
      <c r="G79" s="117">
        <v>8.4</v>
      </c>
      <c r="H79" s="117" t="s">
        <v>108</v>
      </c>
      <c r="I79" s="117" t="s">
        <v>96</v>
      </c>
      <c r="J79" s="117" t="s">
        <v>37</v>
      </c>
      <c r="K79" s="123">
        <f>L79/(F79*H79)</f>
        <v>50.5505505505506</v>
      </c>
      <c r="L79" s="117" t="s">
        <v>279</v>
      </c>
      <c r="M79" s="117">
        <v>12</v>
      </c>
      <c r="N79" s="117">
        <v>4239</v>
      </c>
      <c r="O79" s="117">
        <v>52</v>
      </c>
      <c r="P79" s="117" t="s">
        <v>262</v>
      </c>
      <c r="Q79" s="117" t="s">
        <v>267</v>
      </c>
      <c r="R79" s="118">
        <f>P79*Q79</f>
        <v>0.0028413</v>
      </c>
      <c r="S79" s="119" t="s">
        <v>100</v>
      </c>
    </row>
    <row r="80" ht="6" customHeight="1"/>
    <row r="81" ht="22" customHeight="1" spans="1:19">
      <c r="A81" s="127" t="s">
        <v>280</v>
      </c>
      <c r="B81" s="85" t="s">
        <v>281</v>
      </c>
      <c r="C81" s="85" t="s">
        <v>281</v>
      </c>
      <c r="D81" s="85" t="s">
        <v>24</v>
      </c>
      <c r="E81" s="85" t="s">
        <v>66</v>
      </c>
      <c r="F81" s="85">
        <v>128</v>
      </c>
      <c r="G81" s="85">
        <v>8.38</v>
      </c>
      <c r="H81" s="85" t="s">
        <v>282</v>
      </c>
      <c r="I81" s="85" t="s">
        <v>99</v>
      </c>
      <c r="J81" s="85" t="s">
        <v>236</v>
      </c>
      <c r="K81" s="94">
        <f>L81/(F81*H81)</f>
        <v>39.1181049822064</v>
      </c>
      <c r="L81" s="85" t="s">
        <v>283</v>
      </c>
      <c r="M81" s="85">
        <v>168</v>
      </c>
      <c r="N81" s="85">
        <v>54032</v>
      </c>
      <c r="O81" s="85">
        <v>664</v>
      </c>
      <c r="P81" s="85" t="s">
        <v>262</v>
      </c>
      <c r="Q81" s="85" t="s">
        <v>284</v>
      </c>
      <c r="R81" s="93">
        <f t="shared" si="7"/>
        <v>0.0031119</v>
      </c>
      <c r="S81" s="128" t="s">
        <v>285</v>
      </c>
    </row>
    <row r="82" ht="22" customHeight="1" spans="1:19">
      <c r="A82" s="121"/>
      <c r="B82" s="121"/>
      <c r="C82" s="121"/>
      <c r="D82" s="85" t="s">
        <v>24</v>
      </c>
      <c r="E82" s="85" t="s">
        <v>25</v>
      </c>
      <c r="F82" s="85">
        <v>95</v>
      </c>
      <c r="G82" s="85">
        <v>8.7</v>
      </c>
      <c r="H82" s="85" t="s">
        <v>286</v>
      </c>
      <c r="I82" s="85" t="s">
        <v>287</v>
      </c>
      <c r="J82" s="85" t="s">
        <v>287</v>
      </c>
      <c r="K82" s="94">
        <f>L82/(F82*H82)</f>
        <v>50.870522313388</v>
      </c>
      <c r="L82" s="85" t="s">
        <v>288</v>
      </c>
      <c r="M82" s="85">
        <v>146</v>
      </c>
      <c r="N82" s="85">
        <v>74056</v>
      </c>
      <c r="O82" s="85">
        <v>1083</v>
      </c>
      <c r="P82" s="85" t="s">
        <v>289</v>
      </c>
      <c r="Q82" s="85" t="s">
        <v>290</v>
      </c>
      <c r="R82" s="93">
        <f t="shared" si="7"/>
        <v>0.001971</v>
      </c>
      <c r="S82" s="95" t="s">
        <v>65</v>
      </c>
    </row>
    <row r="83" ht="22" customHeight="1" spans="1:19">
      <c r="A83" s="121"/>
      <c r="B83" s="121"/>
      <c r="C83" s="121"/>
      <c r="D83" s="86" t="s">
        <v>72</v>
      </c>
      <c r="E83" s="86" t="s">
        <v>25</v>
      </c>
      <c r="F83" s="86">
        <v>45</v>
      </c>
      <c r="G83" s="86">
        <v>3.43</v>
      </c>
      <c r="H83" s="86" t="s">
        <v>291</v>
      </c>
      <c r="I83" s="86" t="s">
        <v>242</v>
      </c>
      <c r="J83" s="86" t="s">
        <v>292</v>
      </c>
      <c r="K83" s="114">
        <f>L83/(F83*H83)</f>
        <v>18.3970856102004</v>
      </c>
      <c r="L83" s="86" t="s">
        <v>293</v>
      </c>
      <c r="M83" s="86">
        <v>59</v>
      </c>
      <c r="N83" s="86">
        <v>10591</v>
      </c>
      <c r="O83" s="86">
        <v>291</v>
      </c>
      <c r="P83" s="86" t="s">
        <v>294</v>
      </c>
      <c r="Q83" s="86" t="s">
        <v>295</v>
      </c>
      <c r="R83" s="115">
        <f>Q83*P83</f>
        <v>0.0055825</v>
      </c>
      <c r="S83" s="107" t="s">
        <v>65</v>
      </c>
    </row>
    <row r="84" ht="22" customHeight="1" spans="1:19">
      <c r="A84" s="122"/>
      <c r="B84" s="122"/>
      <c r="C84" s="122"/>
      <c r="D84" s="84" t="s">
        <v>72</v>
      </c>
      <c r="E84" s="84" t="s">
        <v>66</v>
      </c>
      <c r="F84" s="84">
        <v>58</v>
      </c>
      <c r="G84" s="84">
        <v>5.27</v>
      </c>
      <c r="H84" s="84" t="s">
        <v>296</v>
      </c>
      <c r="I84" s="84" t="s">
        <v>297</v>
      </c>
      <c r="J84" s="84" t="s">
        <v>298</v>
      </c>
      <c r="K84" s="97">
        <f>L84/(F84*H84)</f>
        <v>18.924574651988</v>
      </c>
      <c r="L84" s="84" t="s">
        <v>299</v>
      </c>
      <c r="M84" s="84">
        <v>79</v>
      </c>
      <c r="N84" s="84">
        <v>16068</v>
      </c>
      <c r="O84" s="84">
        <v>329</v>
      </c>
      <c r="P84" s="84" t="s">
        <v>300</v>
      </c>
      <c r="Q84" s="84" t="s">
        <v>142</v>
      </c>
      <c r="R84" s="102">
        <f>Q84*P84</f>
        <v>0.00492</v>
      </c>
      <c r="S84" s="98" t="s">
        <v>65</v>
      </c>
    </row>
    <row r="85" ht="6" customHeight="1"/>
    <row r="86" ht="22" customHeight="1" spans="1:19">
      <c r="A86" s="125" t="s">
        <v>301</v>
      </c>
      <c r="B86" s="117" t="s">
        <v>302</v>
      </c>
      <c r="C86" s="117" t="s">
        <v>303</v>
      </c>
      <c r="D86" s="117" t="s">
        <v>24</v>
      </c>
      <c r="E86" s="117" t="s">
        <v>25</v>
      </c>
      <c r="F86" s="117">
        <v>1</v>
      </c>
      <c r="G86" s="117">
        <v>21.19</v>
      </c>
      <c r="H86" s="117" t="s">
        <v>37</v>
      </c>
      <c r="I86" s="117" t="s">
        <v>37</v>
      </c>
      <c r="J86" s="117" t="s">
        <v>37</v>
      </c>
      <c r="K86" s="123" t="str">
        <f>IFERROR(L86/(F86*H86),"—")</f>
        <v>—</v>
      </c>
      <c r="L86" s="117" t="s">
        <v>304</v>
      </c>
      <c r="M86" s="117">
        <v>2</v>
      </c>
      <c r="N86" s="117">
        <v>1575</v>
      </c>
      <c r="O86" s="117">
        <v>27</v>
      </c>
      <c r="P86" s="117" t="s">
        <v>305</v>
      </c>
      <c r="Q86" s="117" t="s">
        <v>90</v>
      </c>
      <c r="R86" s="118">
        <f t="shared" ref="R86:R91" si="8">P86*Q86</f>
        <v>0.0012654</v>
      </c>
      <c r="S86" s="119" t="s">
        <v>100</v>
      </c>
    </row>
    <row r="87" ht="6" customHeight="1"/>
    <row r="88" ht="22" customHeight="1" spans="1:19">
      <c r="A88" s="125" t="s">
        <v>306</v>
      </c>
      <c r="B88" s="117" t="s">
        <v>307</v>
      </c>
      <c r="C88" s="117" t="s">
        <v>307</v>
      </c>
      <c r="D88" s="117" t="s">
        <v>24</v>
      </c>
      <c r="E88" s="117" t="s">
        <v>25</v>
      </c>
      <c r="F88" s="117">
        <v>5</v>
      </c>
      <c r="G88" s="117">
        <v>11.14</v>
      </c>
      <c r="H88" s="117" t="s">
        <v>116</v>
      </c>
      <c r="I88" s="117" t="s">
        <v>37</v>
      </c>
      <c r="J88" s="117" t="s">
        <v>37</v>
      </c>
      <c r="K88" s="123">
        <f>L88/(F88*H88)</f>
        <v>39</v>
      </c>
      <c r="L88" s="117" t="s">
        <v>196</v>
      </c>
      <c r="M88" s="117">
        <v>7</v>
      </c>
      <c r="N88" s="117">
        <v>3518</v>
      </c>
      <c r="O88" s="117">
        <v>53</v>
      </c>
      <c r="P88" s="117" t="s">
        <v>308</v>
      </c>
      <c r="Q88" s="117" t="s">
        <v>64</v>
      </c>
      <c r="R88" s="118">
        <f t="shared" si="8"/>
        <v>0.0019932</v>
      </c>
      <c r="S88" s="119" t="s">
        <v>100</v>
      </c>
    </row>
    <row r="89" ht="6" customHeight="1"/>
    <row r="90" ht="22" customHeight="1" spans="1:19">
      <c r="A90" s="126" t="s">
        <v>309</v>
      </c>
      <c r="B90" s="86" t="s">
        <v>307</v>
      </c>
      <c r="C90" s="86" t="s">
        <v>310</v>
      </c>
      <c r="D90" s="86" t="s">
        <v>72</v>
      </c>
      <c r="E90" s="86" t="s">
        <v>25</v>
      </c>
      <c r="F90" s="86">
        <v>43</v>
      </c>
      <c r="G90" s="86">
        <v>3.8</v>
      </c>
      <c r="H90" s="86" t="s">
        <v>311</v>
      </c>
      <c r="I90" s="86" t="s">
        <v>271</v>
      </c>
      <c r="J90" s="86" t="s">
        <v>111</v>
      </c>
      <c r="K90" s="114">
        <f>L90/(F90*H90)</f>
        <v>29.2481095734056</v>
      </c>
      <c r="L90" s="86" t="s">
        <v>312</v>
      </c>
      <c r="M90" s="86">
        <v>54</v>
      </c>
      <c r="N90" s="86">
        <v>13490</v>
      </c>
      <c r="O90" s="86">
        <v>266</v>
      </c>
      <c r="P90" s="86" t="s">
        <v>313</v>
      </c>
      <c r="Q90" s="86" t="s">
        <v>295</v>
      </c>
      <c r="R90" s="115">
        <f>Q90*P90</f>
        <v>0.0039991</v>
      </c>
      <c r="S90" s="107" t="s">
        <v>49</v>
      </c>
    </row>
    <row r="91" ht="22" customHeight="1" spans="1:19">
      <c r="A91" s="122"/>
      <c r="B91" s="122"/>
      <c r="C91" s="122"/>
      <c r="D91" s="117" t="s">
        <v>72</v>
      </c>
      <c r="E91" s="117" t="s">
        <v>66</v>
      </c>
      <c r="F91" s="117">
        <v>6</v>
      </c>
      <c r="G91" s="117">
        <v>5.66</v>
      </c>
      <c r="H91" s="117" t="s">
        <v>44</v>
      </c>
      <c r="I91" s="117" t="s">
        <v>37</v>
      </c>
      <c r="J91" s="117" t="s">
        <v>44</v>
      </c>
      <c r="K91" s="123">
        <f>L91/(F91*H91)</f>
        <v>50.8982035928144</v>
      </c>
      <c r="L91" s="117" t="s">
        <v>314</v>
      </c>
      <c r="M91" s="117">
        <v>9</v>
      </c>
      <c r="N91" s="117">
        <v>2823</v>
      </c>
      <c r="O91" s="117">
        <v>41</v>
      </c>
      <c r="P91" s="117" t="s">
        <v>315</v>
      </c>
      <c r="Q91" s="117" t="s">
        <v>126</v>
      </c>
      <c r="R91" s="118">
        <f t="shared" si="8"/>
        <v>0.0031755</v>
      </c>
      <c r="S91" s="119" t="s">
        <v>100</v>
      </c>
    </row>
    <row r="92" ht="6" customHeight="1"/>
  </sheetData>
  <mergeCells count="61">
    <mergeCell ref="A1:S1"/>
    <mergeCell ref="A2:S2"/>
    <mergeCell ref="A5:S5"/>
    <mergeCell ref="A7:S7"/>
    <mergeCell ref="A9:S9"/>
    <mergeCell ref="A11:S11"/>
    <mergeCell ref="A16:S16"/>
    <mergeCell ref="A18:S18"/>
    <mergeCell ref="A20:S20"/>
    <mergeCell ref="A25:S25"/>
    <mergeCell ref="A28:S28"/>
    <mergeCell ref="A30:S30"/>
    <mergeCell ref="A32:S32"/>
    <mergeCell ref="A34:S34"/>
    <mergeCell ref="A36:S36"/>
    <mergeCell ref="A38:S38"/>
    <mergeCell ref="A40:S40"/>
    <mergeCell ref="A42:S42"/>
    <mergeCell ref="A44:S44"/>
    <mergeCell ref="A46:S46"/>
    <mergeCell ref="A48:S48"/>
    <mergeCell ref="A50:S50"/>
    <mergeCell ref="A52:S52"/>
    <mergeCell ref="A54:S54"/>
    <mergeCell ref="A56:S56"/>
    <mergeCell ref="A58:S58"/>
    <mergeCell ref="A63:S63"/>
    <mergeCell ref="A68:S68"/>
    <mergeCell ref="A70:S70"/>
    <mergeCell ref="A72:S72"/>
    <mergeCell ref="A74:S74"/>
    <mergeCell ref="A76:S76"/>
    <mergeCell ref="A78:S78"/>
    <mergeCell ref="A80:S80"/>
    <mergeCell ref="A85:S85"/>
    <mergeCell ref="A87:S87"/>
    <mergeCell ref="A89:S89"/>
    <mergeCell ref="A92:S92"/>
    <mergeCell ref="A12:A15"/>
    <mergeCell ref="A21:A24"/>
    <mergeCell ref="A26:A27"/>
    <mergeCell ref="A59:A62"/>
    <mergeCell ref="A64:A67"/>
    <mergeCell ref="A81:A84"/>
    <mergeCell ref="A90:A91"/>
    <mergeCell ref="B12:B15"/>
    <mergeCell ref="B21:B24"/>
    <mergeCell ref="B26:B27"/>
    <mergeCell ref="B59:B62"/>
    <mergeCell ref="B64:B67"/>
    <mergeCell ref="B81:B84"/>
    <mergeCell ref="B90:B91"/>
    <mergeCell ref="C12:C15"/>
    <mergeCell ref="C21:C24"/>
    <mergeCell ref="C26:C27"/>
    <mergeCell ref="C59:C62"/>
    <mergeCell ref="C64:C67"/>
    <mergeCell ref="C81:C84"/>
    <mergeCell ref="C90:C91"/>
    <mergeCell ref="T12:T15"/>
    <mergeCell ref="U26:U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topLeftCell="A68" workbookViewId="0">
      <selection activeCell="C11" sqref="C11"/>
    </sheetView>
  </sheetViews>
  <sheetFormatPr defaultColWidth="9" defaultRowHeight="13.5"/>
  <cols>
    <col min="1" max="1" width="5" customWidth="1"/>
    <col min="2" max="2" width="8" customWidth="1"/>
    <col min="3" max="3" width="24" customWidth="1"/>
    <col min="4" max="6" width="10" customWidth="1"/>
    <col min="7" max="7" width="12" customWidth="1"/>
    <col min="8" max="13" width="14" customWidth="1"/>
    <col min="14" max="14" width="50" customWidth="1"/>
  </cols>
  <sheetData>
    <row r="1" ht="35" customHeight="1" spans="1:14">
      <c r="A1" s="90" t="s">
        <v>316</v>
      </c>
    </row>
    <row r="2" ht="28" customHeight="1" spans="1:14">
      <c r="A2" s="91" t="s">
        <v>317</v>
      </c>
    </row>
    <row r="4" ht="16.5" customHeight="1" spans="1:14">
      <c r="A4" s="88" t="s">
        <v>318</v>
      </c>
    </row>
    <row r="5" ht="32" customHeight="1" spans="1:14">
      <c r="A5" s="71" t="s">
        <v>319</v>
      </c>
      <c r="B5" s="71" t="s">
        <v>320</v>
      </c>
      <c r="C5" s="71" t="s">
        <v>2</v>
      </c>
      <c r="D5" s="71" t="s">
        <v>321</v>
      </c>
      <c r="E5" s="71" t="s">
        <v>5</v>
      </c>
      <c r="F5" s="71" t="s">
        <v>7</v>
      </c>
      <c r="G5" s="71" t="s">
        <v>8</v>
      </c>
      <c r="H5" s="71" t="s">
        <v>9</v>
      </c>
      <c r="I5" s="71" t="s">
        <v>10</v>
      </c>
      <c r="J5" s="71" t="s">
        <v>11</v>
      </c>
      <c r="K5" s="71" t="s">
        <v>12</v>
      </c>
      <c r="L5" s="71" t="s">
        <v>322</v>
      </c>
      <c r="M5" s="71" t="s">
        <v>323</v>
      </c>
      <c r="N5" s="71" t="s">
        <v>324</v>
      </c>
    </row>
    <row r="6" ht="28" customHeight="1" spans="1:14">
      <c r="A6" s="85">
        <v>1</v>
      </c>
      <c r="B6" s="85" t="s">
        <v>325</v>
      </c>
      <c r="C6" s="92" t="s">
        <v>326</v>
      </c>
      <c r="D6" s="85" t="s">
        <v>25</v>
      </c>
      <c r="E6" s="85" t="s">
        <v>24</v>
      </c>
      <c r="F6" s="85">
        <v>54</v>
      </c>
      <c r="G6" s="85">
        <v>3.89</v>
      </c>
      <c r="H6" s="93">
        <v>0.185</v>
      </c>
      <c r="I6" s="85" t="s">
        <v>89</v>
      </c>
      <c r="J6" s="85" t="s">
        <v>90</v>
      </c>
      <c r="K6" s="94">
        <f t="shared" ref="K6:K8" si="0">G6/H6</f>
        <v>21.027027027027</v>
      </c>
      <c r="L6" s="85" t="s">
        <v>93</v>
      </c>
      <c r="M6" s="85" t="s">
        <v>91</v>
      </c>
      <c r="N6" s="95" t="s">
        <v>327</v>
      </c>
    </row>
    <row r="7" ht="28" customHeight="1" spans="1:14">
      <c r="A7" s="85">
        <v>2</v>
      </c>
      <c r="B7" s="85" t="s">
        <v>325</v>
      </c>
      <c r="C7" s="92" t="s">
        <v>328</v>
      </c>
      <c r="D7" s="85" t="s">
        <v>25</v>
      </c>
      <c r="E7" s="85" t="s">
        <v>24</v>
      </c>
      <c r="F7" s="85">
        <v>4</v>
      </c>
      <c r="G7" s="85">
        <v>3.98</v>
      </c>
      <c r="H7" s="85" t="s">
        <v>96</v>
      </c>
      <c r="I7" s="85" t="s">
        <v>53</v>
      </c>
      <c r="J7" s="93">
        <v>0</v>
      </c>
      <c r="K7" s="94">
        <f t="shared" si="0"/>
        <v>7.96</v>
      </c>
      <c r="L7" s="85" t="s">
        <v>99</v>
      </c>
      <c r="M7" s="85" t="s">
        <v>97</v>
      </c>
      <c r="N7" s="95" t="s">
        <v>329</v>
      </c>
    </row>
    <row r="8" ht="28" customHeight="1" spans="1:14">
      <c r="A8" s="84">
        <v>3</v>
      </c>
      <c r="B8" s="84" t="s">
        <v>330</v>
      </c>
      <c r="C8" s="96" t="s">
        <v>331</v>
      </c>
      <c r="D8" s="84" t="s">
        <v>25</v>
      </c>
      <c r="E8" s="84" t="s">
        <v>24</v>
      </c>
      <c r="F8" s="84">
        <v>60</v>
      </c>
      <c r="G8" s="84">
        <v>4.74</v>
      </c>
      <c r="H8" s="84" t="s">
        <v>43</v>
      </c>
      <c r="I8" s="84" t="s">
        <v>44</v>
      </c>
      <c r="J8" s="84" t="s">
        <v>45</v>
      </c>
      <c r="K8" s="97">
        <f t="shared" si="0"/>
        <v>16.7491166077738</v>
      </c>
      <c r="L8" s="84" t="s">
        <v>48</v>
      </c>
      <c r="M8" s="84" t="s">
        <v>46</v>
      </c>
      <c r="N8" s="98" t="s">
        <v>332</v>
      </c>
    </row>
    <row r="9" ht="28" customHeight="1" spans="1:14">
      <c r="A9" s="99">
        <v>4</v>
      </c>
      <c r="B9" s="99" t="s">
        <v>325</v>
      </c>
      <c r="C9" s="100" t="s">
        <v>333</v>
      </c>
      <c r="D9" s="99" t="s">
        <v>25</v>
      </c>
      <c r="E9" s="99" t="s">
        <v>24</v>
      </c>
      <c r="F9" s="99">
        <v>77</v>
      </c>
      <c r="G9" s="99">
        <v>4.98</v>
      </c>
      <c r="H9" s="99" t="s">
        <v>60</v>
      </c>
      <c r="I9" s="99" t="s">
        <v>334</v>
      </c>
      <c r="J9" s="99" t="s">
        <v>61</v>
      </c>
      <c r="K9" s="99" t="s">
        <v>335</v>
      </c>
      <c r="L9" s="99" t="s">
        <v>64</v>
      </c>
      <c r="M9" s="99" t="s">
        <v>62</v>
      </c>
      <c r="N9" s="101" t="s">
        <v>336</v>
      </c>
    </row>
    <row r="10" ht="28" customHeight="1" spans="1:14">
      <c r="A10" s="83">
        <v>5</v>
      </c>
      <c r="B10" s="83" t="s">
        <v>337</v>
      </c>
      <c r="C10" s="82" t="s">
        <v>338</v>
      </c>
      <c r="D10" s="83" t="s">
        <v>25</v>
      </c>
      <c r="E10" s="83" t="s">
        <v>24</v>
      </c>
      <c r="F10" s="83">
        <v>4</v>
      </c>
      <c r="G10" s="83">
        <v>6.24</v>
      </c>
      <c r="H10" s="83" t="s">
        <v>37</v>
      </c>
      <c r="I10" s="83" t="s">
        <v>53</v>
      </c>
      <c r="J10" s="83" t="s">
        <v>53</v>
      </c>
      <c r="K10" s="83" t="s">
        <v>335</v>
      </c>
      <c r="L10" s="83" t="s">
        <v>56</v>
      </c>
      <c r="M10" s="83" t="s">
        <v>54</v>
      </c>
      <c r="N10" s="87" t="s">
        <v>339</v>
      </c>
    </row>
    <row r="11" ht="28" customHeight="1" spans="1:14">
      <c r="A11" s="83">
        <v>6</v>
      </c>
      <c r="B11" s="83" t="s">
        <v>337</v>
      </c>
      <c r="C11" s="82" t="s">
        <v>340</v>
      </c>
      <c r="D11" s="83" t="s">
        <v>25</v>
      </c>
      <c r="E11" s="83" t="s">
        <v>24</v>
      </c>
      <c r="F11" s="83">
        <v>14</v>
      </c>
      <c r="G11" s="83">
        <v>7.52</v>
      </c>
      <c r="H11" s="83" t="s">
        <v>36</v>
      </c>
      <c r="I11" s="83" t="s">
        <v>36</v>
      </c>
      <c r="J11" s="83" t="s">
        <v>37</v>
      </c>
      <c r="K11" s="83" t="s">
        <v>335</v>
      </c>
      <c r="L11" s="83" t="s">
        <v>40</v>
      </c>
      <c r="M11" s="83" t="s">
        <v>38</v>
      </c>
      <c r="N11" s="87" t="s">
        <v>341</v>
      </c>
    </row>
    <row r="12" ht="28" customHeight="1" spans="1:14">
      <c r="A12" s="99">
        <v>7</v>
      </c>
      <c r="B12" s="99" t="s">
        <v>330</v>
      </c>
      <c r="C12" s="100" t="s">
        <v>333</v>
      </c>
      <c r="D12" s="99" t="s">
        <v>66</v>
      </c>
      <c r="E12" s="99" t="s">
        <v>24</v>
      </c>
      <c r="F12" s="99">
        <v>77</v>
      </c>
      <c r="G12" s="99">
        <v>8.42</v>
      </c>
      <c r="H12" s="99" t="s">
        <v>67</v>
      </c>
      <c r="I12" s="99" t="s">
        <v>28</v>
      </c>
      <c r="J12" s="99" t="s">
        <v>68</v>
      </c>
      <c r="K12" s="99" t="s">
        <v>335</v>
      </c>
      <c r="L12" s="99" t="s">
        <v>71</v>
      </c>
      <c r="M12" s="99" t="s">
        <v>69</v>
      </c>
      <c r="N12" s="101" t="s">
        <v>342</v>
      </c>
    </row>
    <row r="13" ht="28" customHeight="1" spans="1:14">
      <c r="A13" s="99">
        <v>8</v>
      </c>
      <c r="B13" s="99" t="s">
        <v>343</v>
      </c>
      <c r="C13" s="100" t="s">
        <v>344</v>
      </c>
      <c r="D13" s="99" t="s">
        <v>25</v>
      </c>
      <c r="E13" s="99" t="s">
        <v>24</v>
      </c>
      <c r="F13" s="99">
        <v>4</v>
      </c>
      <c r="G13" s="99">
        <v>8.54</v>
      </c>
      <c r="H13" s="99" t="s">
        <v>53</v>
      </c>
      <c r="I13" s="99" t="s">
        <v>53</v>
      </c>
      <c r="J13" s="99" t="s">
        <v>37</v>
      </c>
      <c r="K13" s="99" t="s">
        <v>335</v>
      </c>
      <c r="L13" s="99" t="s">
        <v>123</v>
      </c>
      <c r="M13" s="99" t="s">
        <v>121</v>
      </c>
      <c r="N13" s="101" t="s">
        <v>345</v>
      </c>
    </row>
    <row r="14" ht="28" customHeight="1" spans="1:14">
      <c r="A14" s="84">
        <v>9</v>
      </c>
      <c r="B14" s="84" t="s">
        <v>330</v>
      </c>
      <c r="C14" s="96" t="s">
        <v>346</v>
      </c>
      <c r="D14" s="84" t="s">
        <v>25</v>
      </c>
      <c r="E14" s="84" t="s">
        <v>24</v>
      </c>
      <c r="F14" s="84">
        <v>44</v>
      </c>
      <c r="G14" s="84">
        <v>8.6</v>
      </c>
      <c r="H14" s="84" t="s">
        <v>26</v>
      </c>
      <c r="I14" s="84" t="s">
        <v>27</v>
      </c>
      <c r="J14" s="102">
        <v>0.182</v>
      </c>
      <c r="K14" s="97">
        <f>G14/H14</f>
        <v>27.0440251572327</v>
      </c>
      <c r="L14" s="84" t="s">
        <v>31</v>
      </c>
      <c r="M14" s="84" t="s">
        <v>29</v>
      </c>
      <c r="N14" s="103" t="s">
        <v>32</v>
      </c>
    </row>
    <row r="15" ht="28" customHeight="1" spans="1:14">
      <c r="A15" s="99">
        <v>10</v>
      </c>
      <c r="B15" s="99" t="s">
        <v>343</v>
      </c>
      <c r="C15" s="100" t="s">
        <v>347</v>
      </c>
      <c r="D15" s="99" t="s">
        <v>66</v>
      </c>
      <c r="E15" s="99" t="s">
        <v>24</v>
      </c>
      <c r="F15" s="99">
        <v>4</v>
      </c>
      <c r="G15" s="99">
        <v>9.59</v>
      </c>
      <c r="H15" s="99" t="s">
        <v>53</v>
      </c>
      <c r="I15" s="99" t="s">
        <v>53</v>
      </c>
      <c r="J15" s="99" t="s">
        <v>37</v>
      </c>
      <c r="K15" s="99" t="s">
        <v>335</v>
      </c>
      <c r="L15" s="99" t="s">
        <v>105</v>
      </c>
      <c r="M15" s="99" t="s">
        <v>103</v>
      </c>
      <c r="N15" s="101" t="s">
        <v>348</v>
      </c>
    </row>
    <row r="16" ht="28" customHeight="1" spans="1:14">
      <c r="A16" s="99">
        <v>11</v>
      </c>
      <c r="B16" s="99" t="s">
        <v>325</v>
      </c>
      <c r="C16" s="100" t="s">
        <v>347</v>
      </c>
      <c r="D16" s="99" t="s">
        <v>25</v>
      </c>
      <c r="E16" s="99" t="s">
        <v>24</v>
      </c>
      <c r="F16" s="99">
        <v>3</v>
      </c>
      <c r="G16" s="99">
        <v>10.8</v>
      </c>
      <c r="H16" s="99" t="s">
        <v>107</v>
      </c>
      <c r="I16" s="99" t="s">
        <v>108</v>
      </c>
      <c r="J16" s="99" t="s">
        <v>108</v>
      </c>
      <c r="K16" s="99" t="s">
        <v>335</v>
      </c>
      <c r="L16" s="99" t="s">
        <v>111</v>
      </c>
      <c r="M16" s="99" t="s">
        <v>109</v>
      </c>
      <c r="N16" s="101" t="s">
        <v>349</v>
      </c>
    </row>
    <row r="18" ht="16.5" customHeight="1" spans="1:14">
      <c r="A18" s="104" t="s">
        <v>350</v>
      </c>
    </row>
    <row r="19" ht="32" customHeight="1" spans="1:14">
      <c r="A19" s="71" t="s">
        <v>319</v>
      </c>
      <c r="B19" s="71" t="s">
        <v>320</v>
      </c>
      <c r="C19" s="71" t="s">
        <v>2</v>
      </c>
      <c r="D19" s="71" t="s">
        <v>321</v>
      </c>
      <c r="E19" s="71" t="s">
        <v>5</v>
      </c>
      <c r="F19" s="71" t="s">
        <v>7</v>
      </c>
      <c r="G19" s="71" t="s">
        <v>8</v>
      </c>
      <c r="H19" s="71" t="s">
        <v>9</v>
      </c>
      <c r="I19" s="71" t="s">
        <v>10</v>
      </c>
      <c r="J19" s="71" t="s">
        <v>11</v>
      </c>
      <c r="K19" s="71" t="s">
        <v>12</v>
      </c>
      <c r="L19" s="71" t="s">
        <v>322</v>
      </c>
      <c r="M19" s="71" t="s">
        <v>323</v>
      </c>
      <c r="N19" s="71" t="s">
        <v>324</v>
      </c>
    </row>
    <row r="20" ht="28" customHeight="1" spans="1:14">
      <c r="A20" s="84">
        <v>1</v>
      </c>
      <c r="B20" s="84" t="s">
        <v>330</v>
      </c>
      <c r="C20" s="105" t="s">
        <v>129</v>
      </c>
      <c r="D20" s="84" t="s">
        <v>25</v>
      </c>
      <c r="E20" s="84" t="s">
        <v>24</v>
      </c>
      <c r="F20" s="84">
        <v>232</v>
      </c>
      <c r="G20" s="84">
        <v>4.36</v>
      </c>
      <c r="H20" s="84" t="s">
        <v>132</v>
      </c>
      <c r="I20" s="84" t="s">
        <v>133</v>
      </c>
      <c r="J20" s="84" t="s">
        <v>134</v>
      </c>
      <c r="K20" s="97">
        <f>G20/H20</f>
        <v>15.7971014492754</v>
      </c>
      <c r="L20" s="84" t="s">
        <v>137</v>
      </c>
      <c r="M20" s="84" t="s">
        <v>135</v>
      </c>
      <c r="N20" s="98" t="s">
        <v>351</v>
      </c>
    </row>
    <row r="21" ht="28" customHeight="1" spans="1:14">
      <c r="A21" s="85">
        <v>2</v>
      </c>
      <c r="B21" s="85" t="s">
        <v>325</v>
      </c>
      <c r="C21" s="92" t="s">
        <v>352</v>
      </c>
      <c r="D21" s="85" t="s">
        <v>25</v>
      </c>
      <c r="E21" s="85" t="s">
        <v>24</v>
      </c>
      <c r="F21" s="85">
        <v>96</v>
      </c>
      <c r="G21" s="85">
        <v>6.88</v>
      </c>
      <c r="H21" s="85" t="s">
        <v>141</v>
      </c>
      <c r="I21" s="93">
        <v>0.24</v>
      </c>
      <c r="J21" s="85" t="s">
        <v>143</v>
      </c>
      <c r="K21" s="94">
        <f t="shared" ref="K21:K26" si="1">G21/H21</f>
        <v>25.3874538745387</v>
      </c>
      <c r="L21" s="85" t="s">
        <v>146</v>
      </c>
      <c r="M21" s="85" t="s">
        <v>144</v>
      </c>
      <c r="N21" s="95" t="s">
        <v>353</v>
      </c>
    </row>
    <row r="23" ht="16.5" customHeight="1" spans="1:14">
      <c r="A23" s="88" t="s">
        <v>354</v>
      </c>
    </row>
    <row r="24" ht="32" customHeight="1" spans="1:14">
      <c r="A24" s="71" t="s">
        <v>319</v>
      </c>
      <c r="B24" s="71" t="s">
        <v>320</v>
      </c>
      <c r="C24" s="71" t="s">
        <v>2</v>
      </c>
      <c r="D24" s="71" t="s">
        <v>321</v>
      </c>
      <c r="E24" s="71" t="s">
        <v>5</v>
      </c>
      <c r="F24" s="71" t="s">
        <v>7</v>
      </c>
      <c r="G24" s="71" t="s">
        <v>8</v>
      </c>
      <c r="H24" s="71" t="s">
        <v>9</v>
      </c>
      <c r="I24" s="71" t="s">
        <v>10</v>
      </c>
      <c r="J24" s="71" t="s">
        <v>11</v>
      </c>
      <c r="K24" s="71" t="s">
        <v>12</v>
      </c>
      <c r="L24" s="71" t="s">
        <v>322</v>
      </c>
      <c r="M24" s="71" t="s">
        <v>323</v>
      </c>
      <c r="N24" s="71" t="s">
        <v>324</v>
      </c>
    </row>
    <row r="25" ht="28" customHeight="1" spans="1:14">
      <c r="A25" s="85">
        <v>1</v>
      </c>
      <c r="B25" s="85" t="s">
        <v>325</v>
      </c>
      <c r="C25" s="92" t="s">
        <v>355</v>
      </c>
      <c r="D25" s="85" t="s">
        <v>25</v>
      </c>
      <c r="E25" s="85" t="s">
        <v>24</v>
      </c>
      <c r="F25" s="85">
        <v>27</v>
      </c>
      <c r="G25" s="85">
        <v>3.68</v>
      </c>
      <c r="H25" s="85" t="s">
        <v>108</v>
      </c>
      <c r="I25" s="85" t="s">
        <v>90</v>
      </c>
      <c r="J25" s="85" t="s">
        <v>90</v>
      </c>
      <c r="K25" s="94">
        <f t="shared" si="1"/>
        <v>11.0510510510511</v>
      </c>
      <c r="L25" s="85" t="s">
        <v>152</v>
      </c>
      <c r="M25" s="85" t="s">
        <v>150</v>
      </c>
      <c r="N25" s="95" t="s">
        <v>356</v>
      </c>
    </row>
    <row r="26" ht="28" customHeight="1" spans="1:14">
      <c r="A26" s="84">
        <v>2</v>
      </c>
      <c r="B26" s="84" t="s">
        <v>330</v>
      </c>
      <c r="C26" s="96" t="s">
        <v>357</v>
      </c>
      <c r="D26" s="84" t="s">
        <v>25</v>
      </c>
      <c r="E26" s="84" t="s">
        <v>24</v>
      </c>
      <c r="F26" s="84">
        <v>232</v>
      </c>
      <c r="G26" s="84">
        <v>4.36</v>
      </c>
      <c r="H26" s="84" t="s">
        <v>132</v>
      </c>
      <c r="I26" s="84" t="s">
        <v>133</v>
      </c>
      <c r="J26" s="84" t="s">
        <v>134</v>
      </c>
      <c r="K26" s="97">
        <f t="shared" si="1"/>
        <v>15.7971014492754</v>
      </c>
      <c r="L26" s="84" t="s">
        <v>137</v>
      </c>
      <c r="M26" s="84" t="s">
        <v>135</v>
      </c>
      <c r="N26" s="98" t="s">
        <v>351</v>
      </c>
    </row>
    <row r="27" ht="28" customHeight="1" spans="1:14">
      <c r="A27" s="83">
        <v>3</v>
      </c>
      <c r="B27" s="83" t="s">
        <v>337</v>
      </c>
      <c r="C27" s="82" t="s">
        <v>153</v>
      </c>
      <c r="D27" s="83" t="s">
        <v>25</v>
      </c>
      <c r="E27" s="83" t="s">
        <v>24</v>
      </c>
      <c r="F27" s="83">
        <v>6</v>
      </c>
      <c r="G27" s="83">
        <v>5.49</v>
      </c>
      <c r="H27" s="83" t="s">
        <v>44</v>
      </c>
      <c r="I27" s="83" t="s">
        <v>49</v>
      </c>
      <c r="J27" s="83" t="s">
        <v>108</v>
      </c>
      <c r="K27" s="83" t="s">
        <v>335</v>
      </c>
      <c r="L27" s="83" t="s">
        <v>157</v>
      </c>
      <c r="M27" s="83" t="s">
        <v>155</v>
      </c>
      <c r="N27" s="87" t="s">
        <v>358</v>
      </c>
    </row>
    <row r="29" ht="16.5" customHeight="1" spans="1:14">
      <c r="A29" s="88" t="s">
        <v>359</v>
      </c>
    </row>
    <row r="30" ht="32" customHeight="1" spans="1:14">
      <c r="A30" s="71" t="s">
        <v>319</v>
      </c>
      <c r="B30" s="71" t="s">
        <v>320</v>
      </c>
      <c r="C30" s="71" t="s">
        <v>2</v>
      </c>
      <c r="D30" s="71" t="s">
        <v>321</v>
      </c>
      <c r="E30" s="71" t="s">
        <v>5</v>
      </c>
      <c r="F30" s="71" t="s">
        <v>7</v>
      </c>
      <c r="G30" s="71" t="s">
        <v>8</v>
      </c>
      <c r="H30" s="71" t="s">
        <v>9</v>
      </c>
      <c r="I30" s="71" t="s">
        <v>10</v>
      </c>
      <c r="J30" s="71" t="s">
        <v>11</v>
      </c>
      <c r="K30" s="71" t="s">
        <v>12</v>
      </c>
      <c r="L30" s="71" t="s">
        <v>322</v>
      </c>
      <c r="M30" s="71" t="s">
        <v>323</v>
      </c>
      <c r="N30" s="71" t="s">
        <v>324</v>
      </c>
    </row>
    <row r="31" ht="28" customHeight="1" spans="1:14">
      <c r="A31" s="85">
        <v>1</v>
      </c>
      <c r="B31" s="85" t="s">
        <v>325</v>
      </c>
      <c r="C31" s="92" t="s">
        <v>328</v>
      </c>
      <c r="D31" s="85" t="s">
        <v>25</v>
      </c>
      <c r="E31" s="85" t="s">
        <v>24</v>
      </c>
      <c r="F31" s="85">
        <v>4</v>
      </c>
      <c r="G31" s="85">
        <v>3.98</v>
      </c>
      <c r="H31" s="85" t="s">
        <v>96</v>
      </c>
      <c r="I31" s="85" t="s">
        <v>53</v>
      </c>
      <c r="J31" s="85" t="s">
        <v>37</v>
      </c>
      <c r="K31" s="94">
        <f>G31/H31</f>
        <v>7.96</v>
      </c>
      <c r="L31" s="85" t="s">
        <v>99</v>
      </c>
      <c r="M31" s="85" t="s">
        <v>97</v>
      </c>
      <c r="N31" s="95" t="s">
        <v>329</v>
      </c>
    </row>
    <row r="32" ht="28" customHeight="1" spans="1:14">
      <c r="A32" s="99">
        <v>2</v>
      </c>
      <c r="B32" s="99" t="s">
        <v>325</v>
      </c>
      <c r="C32" s="100" t="s">
        <v>333</v>
      </c>
      <c r="D32" s="99" t="s">
        <v>25</v>
      </c>
      <c r="E32" s="99" t="s">
        <v>24</v>
      </c>
      <c r="F32" s="99">
        <v>77</v>
      </c>
      <c r="G32" s="99">
        <v>4.98</v>
      </c>
      <c r="H32" s="99" t="s">
        <v>60</v>
      </c>
      <c r="I32" s="99" t="s">
        <v>334</v>
      </c>
      <c r="J32" s="99" t="s">
        <v>61</v>
      </c>
      <c r="K32" s="99" t="s">
        <v>335</v>
      </c>
      <c r="L32" s="99" t="s">
        <v>64</v>
      </c>
      <c r="M32" s="99" t="s">
        <v>62</v>
      </c>
      <c r="N32" s="101" t="s">
        <v>336</v>
      </c>
    </row>
    <row r="33" ht="28" customHeight="1" spans="1:14">
      <c r="A33" s="83">
        <v>3</v>
      </c>
      <c r="B33" s="83" t="s">
        <v>337</v>
      </c>
      <c r="C33" s="82" t="s">
        <v>338</v>
      </c>
      <c r="D33" s="83" t="s">
        <v>25</v>
      </c>
      <c r="E33" s="83" t="s">
        <v>24</v>
      </c>
      <c r="F33" s="83">
        <v>4</v>
      </c>
      <c r="G33" s="83">
        <v>6.24</v>
      </c>
      <c r="H33" s="83" t="s">
        <v>37</v>
      </c>
      <c r="I33" s="83" t="s">
        <v>53</v>
      </c>
      <c r="J33" s="83" t="s">
        <v>53</v>
      </c>
      <c r="K33" s="83" t="s">
        <v>335</v>
      </c>
      <c r="L33" s="83" t="s">
        <v>56</v>
      </c>
      <c r="M33" s="83" t="s">
        <v>54</v>
      </c>
      <c r="N33" s="87" t="s">
        <v>339</v>
      </c>
    </row>
    <row r="34" ht="28" customHeight="1" spans="1:14">
      <c r="A34" s="83">
        <v>4</v>
      </c>
      <c r="B34" s="83" t="s">
        <v>337</v>
      </c>
      <c r="C34" s="82" t="s">
        <v>158</v>
      </c>
      <c r="D34" s="83" t="s">
        <v>25</v>
      </c>
      <c r="E34" s="83" t="s">
        <v>24</v>
      </c>
      <c r="F34" s="83">
        <v>7</v>
      </c>
      <c r="G34" s="83">
        <v>6.93</v>
      </c>
      <c r="H34" s="83" t="s">
        <v>160</v>
      </c>
      <c r="I34" s="83" t="s">
        <v>160</v>
      </c>
      <c r="J34" s="83" t="s">
        <v>160</v>
      </c>
      <c r="K34" s="83" t="s">
        <v>335</v>
      </c>
      <c r="L34" s="83" t="s">
        <v>163</v>
      </c>
      <c r="M34" s="83" t="s">
        <v>161</v>
      </c>
      <c r="N34" s="87" t="s">
        <v>360</v>
      </c>
    </row>
    <row r="35" ht="28" customHeight="1" spans="1:14">
      <c r="A35" s="85">
        <v>5</v>
      </c>
      <c r="B35" s="85" t="s">
        <v>325</v>
      </c>
      <c r="C35" s="92" t="s">
        <v>183</v>
      </c>
      <c r="D35" s="85" t="s">
        <v>25</v>
      </c>
      <c r="E35" s="85" t="s">
        <v>24</v>
      </c>
      <c r="F35" s="85">
        <v>41</v>
      </c>
      <c r="G35" s="85">
        <v>7.48</v>
      </c>
      <c r="H35" s="85" t="s">
        <v>184</v>
      </c>
      <c r="I35" s="85" t="s">
        <v>185</v>
      </c>
      <c r="J35" s="85" t="s">
        <v>186</v>
      </c>
      <c r="K35" s="94">
        <f>G35/H35</f>
        <v>23.596214511041</v>
      </c>
      <c r="L35" s="85" t="s">
        <v>185</v>
      </c>
      <c r="M35" s="85" t="s">
        <v>187</v>
      </c>
      <c r="N35" s="95" t="s">
        <v>361</v>
      </c>
    </row>
    <row r="36" ht="28" customHeight="1" spans="1:14">
      <c r="A36" s="83">
        <v>6</v>
      </c>
      <c r="B36" s="83" t="s">
        <v>337</v>
      </c>
      <c r="C36" s="82" t="s">
        <v>176</v>
      </c>
      <c r="D36" s="83" t="s">
        <v>25</v>
      </c>
      <c r="E36" s="83" t="s">
        <v>24</v>
      </c>
      <c r="F36" s="83">
        <v>17</v>
      </c>
      <c r="G36" s="83">
        <v>8.21</v>
      </c>
      <c r="H36" s="83" t="s">
        <v>177</v>
      </c>
      <c r="I36" s="83" t="s">
        <v>178</v>
      </c>
      <c r="J36" s="83" t="s">
        <v>179</v>
      </c>
      <c r="K36" s="83" t="s">
        <v>335</v>
      </c>
      <c r="L36" s="83" t="s">
        <v>182</v>
      </c>
      <c r="M36" s="83" t="s">
        <v>180</v>
      </c>
      <c r="N36" s="87" t="s">
        <v>362</v>
      </c>
    </row>
    <row r="37" ht="28" customHeight="1" spans="1:14">
      <c r="A37" s="99">
        <v>7</v>
      </c>
      <c r="B37" s="99" t="s">
        <v>325</v>
      </c>
      <c r="C37" s="100" t="s">
        <v>333</v>
      </c>
      <c r="D37" s="99" t="s">
        <v>66</v>
      </c>
      <c r="E37" s="99" t="s">
        <v>24</v>
      </c>
      <c r="F37" s="99">
        <v>77</v>
      </c>
      <c r="G37" s="99">
        <v>8.42</v>
      </c>
      <c r="H37" s="99" t="s">
        <v>67</v>
      </c>
      <c r="I37" s="99" t="s">
        <v>28</v>
      </c>
      <c r="J37" s="99" t="s">
        <v>68</v>
      </c>
      <c r="K37" s="99" t="s">
        <v>335</v>
      </c>
      <c r="L37" s="99" t="s">
        <v>71</v>
      </c>
      <c r="M37" s="99" t="s">
        <v>69</v>
      </c>
      <c r="N37" s="101" t="s">
        <v>342</v>
      </c>
    </row>
    <row r="38" ht="28" customHeight="1" spans="1:14">
      <c r="A38" s="99">
        <v>8</v>
      </c>
      <c r="B38" s="99" t="s">
        <v>343</v>
      </c>
      <c r="C38" s="100" t="s">
        <v>344</v>
      </c>
      <c r="D38" s="99" t="s">
        <v>25</v>
      </c>
      <c r="E38" s="99" t="s">
        <v>24</v>
      </c>
      <c r="F38" s="99">
        <v>4</v>
      </c>
      <c r="G38" s="99">
        <v>8.54</v>
      </c>
      <c r="H38" s="99" t="s">
        <v>53</v>
      </c>
      <c r="I38" s="99" t="s">
        <v>53</v>
      </c>
      <c r="J38" s="99" t="s">
        <v>37</v>
      </c>
      <c r="K38" s="99" t="s">
        <v>335</v>
      </c>
      <c r="L38" s="99" t="s">
        <v>123</v>
      </c>
      <c r="M38" s="99" t="s">
        <v>121</v>
      </c>
      <c r="N38" s="101" t="s">
        <v>345</v>
      </c>
    </row>
    <row r="39" ht="28" customHeight="1" spans="1:14">
      <c r="A39" s="83">
        <v>9</v>
      </c>
      <c r="B39" s="83" t="s">
        <v>337</v>
      </c>
      <c r="C39" s="82" t="s">
        <v>164</v>
      </c>
      <c r="D39" s="83" t="s">
        <v>25</v>
      </c>
      <c r="E39" s="83" t="s">
        <v>24</v>
      </c>
      <c r="F39" s="83">
        <v>11</v>
      </c>
      <c r="G39" s="83">
        <v>9.01</v>
      </c>
      <c r="H39" s="83" t="s">
        <v>165</v>
      </c>
      <c r="I39" s="83" t="s">
        <v>166</v>
      </c>
      <c r="J39" s="83" t="s">
        <v>166</v>
      </c>
      <c r="K39" s="83" t="s">
        <v>335</v>
      </c>
      <c r="L39" s="83" t="s">
        <v>169</v>
      </c>
      <c r="M39" s="83" t="s">
        <v>167</v>
      </c>
      <c r="N39" s="87" t="s">
        <v>363</v>
      </c>
    </row>
    <row r="40" ht="28" customHeight="1" spans="1:14">
      <c r="A40" s="99">
        <v>10</v>
      </c>
      <c r="B40" s="99" t="s">
        <v>343</v>
      </c>
      <c r="C40" s="100" t="s">
        <v>347</v>
      </c>
      <c r="D40" s="99" t="s">
        <v>66</v>
      </c>
      <c r="E40" s="99" t="s">
        <v>24</v>
      </c>
      <c r="F40" s="99">
        <v>4</v>
      </c>
      <c r="G40" s="99">
        <v>9.59</v>
      </c>
      <c r="H40" s="99" t="s">
        <v>53</v>
      </c>
      <c r="I40" s="99" t="s">
        <v>53</v>
      </c>
      <c r="J40" s="99" t="s">
        <v>37</v>
      </c>
      <c r="K40" s="99" t="s">
        <v>335</v>
      </c>
      <c r="L40" s="99" t="s">
        <v>105</v>
      </c>
      <c r="M40" s="99" t="s">
        <v>103</v>
      </c>
      <c r="N40" s="101" t="s">
        <v>348</v>
      </c>
    </row>
    <row r="41" ht="28" customHeight="1" spans="1:14">
      <c r="A41" s="99">
        <v>11</v>
      </c>
      <c r="B41" s="99" t="s">
        <v>325</v>
      </c>
      <c r="C41" s="100" t="s">
        <v>347</v>
      </c>
      <c r="D41" s="99" t="s">
        <v>25</v>
      </c>
      <c r="E41" s="99" t="s">
        <v>24</v>
      </c>
      <c r="F41" s="99">
        <v>3</v>
      </c>
      <c r="G41" s="99">
        <v>10.8</v>
      </c>
      <c r="H41" s="99" t="s">
        <v>107</v>
      </c>
      <c r="I41" s="99" t="s">
        <v>108</v>
      </c>
      <c r="J41" s="99" t="s">
        <v>108</v>
      </c>
      <c r="K41" s="99" t="s">
        <v>335</v>
      </c>
      <c r="L41" s="99" t="s">
        <v>111</v>
      </c>
      <c r="M41" s="99" t="s">
        <v>109</v>
      </c>
      <c r="N41" s="101" t="s">
        <v>349</v>
      </c>
    </row>
    <row r="42" ht="28" customHeight="1" spans="1:14">
      <c r="A42" s="86">
        <v>12</v>
      </c>
      <c r="B42" s="86" t="s">
        <v>343</v>
      </c>
      <c r="C42" s="106" t="s">
        <v>170</v>
      </c>
      <c r="D42" s="86" t="s">
        <v>25</v>
      </c>
      <c r="E42" s="86" t="s">
        <v>24</v>
      </c>
      <c r="F42" s="86">
        <v>65</v>
      </c>
      <c r="G42" s="86">
        <v>11</v>
      </c>
      <c r="H42" s="86" t="s">
        <v>171</v>
      </c>
      <c r="I42" s="86" t="s">
        <v>172</v>
      </c>
      <c r="J42" s="86" t="s">
        <v>173</v>
      </c>
      <c r="K42" s="86" t="s">
        <v>335</v>
      </c>
      <c r="L42" s="86" t="s">
        <v>163</v>
      </c>
      <c r="M42" s="86" t="s">
        <v>174</v>
      </c>
      <c r="N42" s="107" t="s">
        <v>364</v>
      </c>
    </row>
    <row r="43" ht="28" customHeight="1" spans="1:14">
      <c r="A43" s="86">
        <v>13</v>
      </c>
      <c r="B43" s="86" t="s">
        <v>343</v>
      </c>
      <c r="C43" s="106" t="s">
        <v>195</v>
      </c>
      <c r="D43" s="86" t="s">
        <v>25</v>
      </c>
      <c r="E43" s="86" t="s">
        <v>24</v>
      </c>
      <c r="F43" s="86">
        <v>5</v>
      </c>
      <c r="G43" s="86">
        <v>15.52</v>
      </c>
      <c r="H43" s="86" t="s">
        <v>116</v>
      </c>
      <c r="I43" s="86" t="s">
        <v>49</v>
      </c>
      <c r="J43" s="86" t="s">
        <v>37</v>
      </c>
      <c r="K43" s="86" t="s">
        <v>335</v>
      </c>
      <c r="L43" s="86" t="s">
        <v>198</v>
      </c>
      <c r="M43" s="86" t="s">
        <v>196</v>
      </c>
      <c r="N43" s="107" t="s">
        <v>365</v>
      </c>
    </row>
    <row r="44" ht="28" customHeight="1" spans="1:14">
      <c r="A44" s="86">
        <v>14</v>
      </c>
      <c r="B44" s="86" t="s">
        <v>343</v>
      </c>
      <c r="C44" s="106" t="s">
        <v>189</v>
      </c>
      <c r="D44" s="86" t="s">
        <v>25</v>
      </c>
      <c r="E44" s="86" t="s">
        <v>24</v>
      </c>
      <c r="F44" s="86">
        <v>8</v>
      </c>
      <c r="G44" s="86">
        <v>18.76</v>
      </c>
      <c r="H44" s="86" t="s">
        <v>53</v>
      </c>
      <c r="I44" s="86" t="s">
        <v>49</v>
      </c>
      <c r="J44" s="86" t="s">
        <v>37</v>
      </c>
      <c r="K44" s="86" t="s">
        <v>335</v>
      </c>
      <c r="L44" s="86" t="s">
        <v>194</v>
      </c>
      <c r="M44" s="86" t="s">
        <v>192</v>
      </c>
      <c r="N44" s="107" t="s">
        <v>366</v>
      </c>
    </row>
    <row r="45" ht="28" customHeight="1" spans="1:14">
      <c r="A45" s="86">
        <v>15</v>
      </c>
      <c r="B45" s="86" t="s">
        <v>343</v>
      </c>
      <c r="C45" s="106" t="s">
        <v>199</v>
      </c>
      <c r="D45" s="86" t="s">
        <v>25</v>
      </c>
      <c r="E45" s="86" t="s">
        <v>24</v>
      </c>
      <c r="F45" s="86">
        <v>3</v>
      </c>
      <c r="G45" s="86">
        <v>23.13</v>
      </c>
      <c r="H45" s="86" t="s">
        <v>37</v>
      </c>
      <c r="I45" s="86" t="s">
        <v>49</v>
      </c>
      <c r="J45" s="86" t="s">
        <v>37</v>
      </c>
      <c r="K45" s="86" t="s">
        <v>335</v>
      </c>
      <c r="L45" s="86" t="s">
        <v>198</v>
      </c>
      <c r="M45" s="86" t="s">
        <v>201</v>
      </c>
      <c r="N45" s="107" t="s">
        <v>367</v>
      </c>
    </row>
    <row r="47" ht="16.5" customHeight="1" spans="1:14">
      <c r="A47" s="88" t="s">
        <v>368</v>
      </c>
    </row>
    <row r="48" ht="32" customHeight="1" spans="1:14">
      <c r="A48" s="71" t="s">
        <v>319</v>
      </c>
      <c r="B48" s="71" t="s">
        <v>320</v>
      </c>
      <c r="C48" s="71" t="s">
        <v>2</v>
      </c>
      <c r="D48" s="71" t="s">
        <v>321</v>
      </c>
      <c r="E48" s="71" t="s">
        <v>5</v>
      </c>
      <c r="F48" s="71" t="s">
        <v>7</v>
      </c>
      <c r="G48" s="71" t="s">
        <v>8</v>
      </c>
      <c r="H48" s="71" t="s">
        <v>9</v>
      </c>
      <c r="I48" s="71" t="s">
        <v>10</v>
      </c>
      <c r="J48" s="71" t="s">
        <v>11</v>
      </c>
      <c r="K48" s="71" t="s">
        <v>12</v>
      </c>
      <c r="L48" s="71" t="s">
        <v>322</v>
      </c>
      <c r="M48" s="71" t="s">
        <v>323</v>
      </c>
      <c r="N48" s="71" t="s">
        <v>324</v>
      </c>
    </row>
    <row r="49" ht="28" customHeight="1" spans="1:14">
      <c r="A49" s="85">
        <v>1</v>
      </c>
      <c r="B49" s="85" t="s">
        <v>325</v>
      </c>
      <c r="C49" s="92" t="s">
        <v>326</v>
      </c>
      <c r="D49" s="85" t="s">
        <v>25</v>
      </c>
      <c r="E49" s="85" t="s">
        <v>24</v>
      </c>
      <c r="F49" s="85">
        <v>54</v>
      </c>
      <c r="G49" s="85">
        <v>3.89</v>
      </c>
      <c r="H49" s="85" t="s">
        <v>88</v>
      </c>
      <c r="I49" s="85" t="s">
        <v>89</v>
      </c>
      <c r="J49" s="85" t="s">
        <v>90</v>
      </c>
      <c r="K49" s="94">
        <f>G49/H49</f>
        <v>21.027027027027</v>
      </c>
      <c r="L49" s="85" t="s">
        <v>93</v>
      </c>
      <c r="M49" s="85" t="s">
        <v>91</v>
      </c>
      <c r="N49" s="95" t="s">
        <v>327</v>
      </c>
    </row>
    <row r="50" ht="28" customHeight="1" spans="1:14">
      <c r="A50" s="99">
        <v>2</v>
      </c>
      <c r="B50" s="99" t="s">
        <v>337</v>
      </c>
      <c r="C50" s="100" t="s">
        <v>369</v>
      </c>
      <c r="D50" s="99" t="s">
        <v>25</v>
      </c>
      <c r="E50" s="99" t="s">
        <v>24</v>
      </c>
      <c r="F50" s="99">
        <v>24</v>
      </c>
      <c r="G50" s="99">
        <v>5.6</v>
      </c>
      <c r="H50" s="99" t="s">
        <v>44</v>
      </c>
      <c r="I50" s="99" t="s">
        <v>223</v>
      </c>
      <c r="J50" s="99" t="s">
        <v>223</v>
      </c>
      <c r="K50" s="99" t="s">
        <v>335</v>
      </c>
      <c r="L50" s="99" t="s">
        <v>171</v>
      </c>
      <c r="M50" s="99" t="s">
        <v>214</v>
      </c>
      <c r="N50" s="101" t="s">
        <v>370</v>
      </c>
    </row>
    <row r="51" ht="28" customHeight="1" spans="1:14">
      <c r="A51" s="99">
        <v>3</v>
      </c>
      <c r="B51" s="99" t="s">
        <v>337</v>
      </c>
      <c r="C51" s="100" t="s">
        <v>237</v>
      </c>
      <c r="D51" s="99" t="s">
        <v>66</v>
      </c>
      <c r="E51" s="99" t="s">
        <v>24</v>
      </c>
      <c r="F51" s="99">
        <v>21</v>
      </c>
      <c r="G51" s="99">
        <v>8.15</v>
      </c>
      <c r="H51" s="99" t="s">
        <v>238</v>
      </c>
      <c r="I51" s="99" t="s">
        <v>207</v>
      </c>
      <c r="J51" s="99" t="s">
        <v>207</v>
      </c>
      <c r="K51" s="99" t="s">
        <v>335</v>
      </c>
      <c r="L51" s="99" t="s">
        <v>218</v>
      </c>
      <c r="M51" s="99" t="s">
        <v>239</v>
      </c>
      <c r="N51" s="101" t="s">
        <v>371</v>
      </c>
    </row>
    <row r="52" ht="28" customHeight="1" spans="1:14">
      <c r="A52" s="86">
        <v>4</v>
      </c>
      <c r="B52" s="86" t="s">
        <v>343</v>
      </c>
      <c r="C52" s="106" t="s">
        <v>277</v>
      </c>
      <c r="D52" s="86" t="s">
        <v>25</v>
      </c>
      <c r="E52" s="86" t="s">
        <v>24</v>
      </c>
      <c r="F52" s="86">
        <v>6</v>
      </c>
      <c r="G52" s="86">
        <v>8.4</v>
      </c>
      <c r="H52" s="86" t="s">
        <v>108</v>
      </c>
      <c r="I52" s="86" t="s">
        <v>96</v>
      </c>
      <c r="J52" s="86" t="s">
        <v>37</v>
      </c>
      <c r="K52" s="86" t="s">
        <v>335</v>
      </c>
      <c r="L52" s="86" t="s">
        <v>267</v>
      </c>
      <c r="M52" s="86" t="s">
        <v>279</v>
      </c>
      <c r="N52" s="107" t="s">
        <v>372</v>
      </c>
    </row>
    <row r="53" ht="28" customHeight="1" spans="1:14">
      <c r="A53" s="99">
        <v>5</v>
      </c>
      <c r="B53" s="99" t="s">
        <v>325</v>
      </c>
      <c r="C53" s="100" t="s">
        <v>369</v>
      </c>
      <c r="D53" s="99" t="s">
        <v>66</v>
      </c>
      <c r="E53" s="99" t="s">
        <v>24</v>
      </c>
      <c r="F53" s="99">
        <v>12</v>
      </c>
      <c r="G53" s="99">
        <v>8.89</v>
      </c>
      <c r="H53" s="99" t="s">
        <v>96</v>
      </c>
      <c r="I53" s="99" t="s">
        <v>53</v>
      </c>
      <c r="J53" s="99" t="s">
        <v>44</v>
      </c>
      <c r="K53" s="99" t="s">
        <v>335</v>
      </c>
      <c r="L53" s="99" t="s">
        <v>228</v>
      </c>
      <c r="M53" s="99" t="s">
        <v>226</v>
      </c>
      <c r="N53" s="101" t="s">
        <v>373</v>
      </c>
    </row>
    <row r="54" ht="28" customHeight="1" spans="1:14">
      <c r="A54" s="83">
        <v>6</v>
      </c>
      <c r="B54" s="83" t="s">
        <v>337</v>
      </c>
      <c r="C54" s="82" t="s">
        <v>257</v>
      </c>
      <c r="D54" s="83" t="s">
        <v>25</v>
      </c>
      <c r="E54" s="83" t="s">
        <v>24</v>
      </c>
      <c r="F54" s="83">
        <v>31</v>
      </c>
      <c r="G54" s="83">
        <v>8.91</v>
      </c>
      <c r="H54" s="83" t="s">
        <v>258</v>
      </c>
      <c r="I54" s="83" t="s">
        <v>259</v>
      </c>
      <c r="J54" s="83" t="s">
        <v>260</v>
      </c>
      <c r="K54" s="83" t="s">
        <v>335</v>
      </c>
      <c r="L54" s="83" t="s">
        <v>263</v>
      </c>
      <c r="M54" s="83" t="s">
        <v>261</v>
      </c>
      <c r="N54" s="87" t="s">
        <v>374</v>
      </c>
    </row>
    <row r="55" ht="28" customHeight="1" spans="1:14">
      <c r="A55" s="86">
        <v>7</v>
      </c>
      <c r="B55" s="86" t="s">
        <v>343</v>
      </c>
      <c r="C55" s="106" t="s">
        <v>203</v>
      </c>
      <c r="D55" s="86" t="s">
        <v>25</v>
      </c>
      <c r="E55" s="86" t="s">
        <v>24</v>
      </c>
      <c r="F55" s="86">
        <v>95</v>
      </c>
      <c r="G55" s="86">
        <v>10.4</v>
      </c>
      <c r="H55" s="86" t="s">
        <v>206</v>
      </c>
      <c r="I55" s="86" t="s">
        <v>207</v>
      </c>
      <c r="J55" s="86" t="s">
        <v>208</v>
      </c>
      <c r="K55" s="86" t="s">
        <v>335</v>
      </c>
      <c r="L55" s="86" t="s">
        <v>211</v>
      </c>
      <c r="M55" s="86" t="s">
        <v>209</v>
      </c>
      <c r="N55" s="107" t="s">
        <v>375</v>
      </c>
    </row>
    <row r="56" ht="28" customHeight="1" spans="1:14">
      <c r="A56" s="86">
        <v>8</v>
      </c>
      <c r="B56" s="86" t="s">
        <v>343</v>
      </c>
      <c r="C56" s="106" t="s">
        <v>268</v>
      </c>
      <c r="D56" s="86" t="s">
        <v>25</v>
      </c>
      <c r="E56" s="86" t="s">
        <v>24</v>
      </c>
      <c r="F56" s="86">
        <v>7</v>
      </c>
      <c r="G56" s="86">
        <v>14.12</v>
      </c>
      <c r="H56" s="86" t="s">
        <v>37</v>
      </c>
      <c r="I56" s="86" t="s">
        <v>160</v>
      </c>
      <c r="J56" s="86" t="s">
        <v>160</v>
      </c>
      <c r="K56" s="86" t="s">
        <v>335</v>
      </c>
      <c r="L56" s="86" t="s">
        <v>271</v>
      </c>
      <c r="M56" s="86" t="s">
        <v>269</v>
      </c>
      <c r="N56" s="107" t="s">
        <v>376</v>
      </c>
    </row>
    <row r="57" ht="28" customHeight="1" spans="1:14">
      <c r="A57" s="86">
        <v>9</v>
      </c>
      <c r="B57" s="86" t="s">
        <v>343</v>
      </c>
      <c r="C57" s="106" t="s">
        <v>212</v>
      </c>
      <c r="D57" s="86" t="s">
        <v>25</v>
      </c>
      <c r="E57" s="86" t="s">
        <v>24</v>
      </c>
      <c r="F57" s="86">
        <v>6</v>
      </c>
      <c r="G57" s="86">
        <v>14.24</v>
      </c>
      <c r="H57" s="86" t="s">
        <v>108</v>
      </c>
      <c r="I57" s="86" t="s">
        <v>49</v>
      </c>
      <c r="J57" s="86" t="s">
        <v>37</v>
      </c>
      <c r="K57" s="86" t="s">
        <v>335</v>
      </c>
      <c r="L57" s="86" t="s">
        <v>216</v>
      </c>
      <c r="M57" s="86" t="s">
        <v>214</v>
      </c>
      <c r="N57" s="107" t="s">
        <v>377</v>
      </c>
    </row>
    <row r="58" ht="28" customHeight="1" spans="1:14">
      <c r="A58" s="99">
        <v>10</v>
      </c>
      <c r="B58" s="99" t="s">
        <v>337</v>
      </c>
      <c r="C58" s="100" t="s">
        <v>237</v>
      </c>
      <c r="D58" s="99" t="s">
        <v>25</v>
      </c>
      <c r="E58" s="99" t="s">
        <v>24</v>
      </c>
      <c r="F58" s="99">
        <v>15</v>
      </c>
      <c r="G58" s="99">
        <v>15.44</v>
      </c>
      <c r="H58" s="99" t="s">
        <v>73</v>
      </c>
      <c r="I58" s="99" t="s">
        <v>241</v>
      </c>
      <c r="J58" s="99" t="s">
        <v>242</v>
      </c>
      <c r="K58" s="99" t="s">
        <v>335</v>
      </c>
      <c r="L58" s="99" t="s">
        <v>245</v>
      </c>
      <c r="M58" s="99" t="s">
        <v>243</v>
      </c>
      <c r="N58" s="101" t="s">
        <v>378</v>
      </c>
    </row>
    <row r="59" ht="28" customHeight="1" spans="1:14">
      <c r="A59" s="86">
        <v>11</v>
      </c>
      <c r="B59" s="86" t="s">
        <v>343</v>
      </c>
      <c r="C59" s="106" t="s">
        <v>189</v>
      </c>
      <c r="D59" s="86" t="s">
        <v>25</v>
      </c>
      <c r="E59" s="86" t="s">
        <v>24</v>
      </c>
      <c r="F59" s="86">
        <v>8</v>
      </c>
      <c r="G59" s="86">
        <v>18.76</v>
      </c>
      <c r="H59" s="86" t="s">
        <v>53</v>
      </c>
      <c r="I59" s="86" t="s">
        <v>49</v>
      </c>
      <c r="J59" s="86" t="s">
        <v>37</v>
      </c>
      <c r="K59" s="86" t="s">
        <v>335</v>
      </c>
      <c r="L59" s="86" t="s">
        <v>194</v>
      </c>
      <c r="M59" s="86" t="s">
        <v>192</v>
      </c>
      <c r="N59" s="107" t="s">
        <v>366</v>
      </c>
    </row>
    <row r="60" ht="28" customHeight="1" spans="1:14">
      <c r="A60" s="85">
        <v>12</v>
      </c>
      <c r="B60" s="85" t="s">
        <v>325</v>
      </c>
      <c r="C60" s="92" t="s">
        <v>272</v>
      </c>
      <c r="D60" s="85" t="s">
        <v>25</v>
      </c>
      <c r="E60" s="85" t="s">
        <v>24</v>
      </c>
      <c r="F60" s="85">
        <v>11</v>
      </c>
      <c r="G60" s="85">
        <v>19.27</v>
      </c>
      <c r="H60" s="85" t="s">
        <v>165</v>
      </c>
      <c r="I60" s="85" t="s">
        <v>166</v>
      </c>
      <c r="J60" s="85" t="s">
        <v>28</v>
      </c>
      <c r="K60" s="94">
        <f>G60/H60</f>
        <v>52.9395604395604</v>
      </c>
      <c r="L60" s="85" t="s">
        <v>276</v>
      </c>
      <c r="M60" s="85" t="s">
        <v>274</v>
      </c>
      <c r="N60" s="95" t="s">
        <v>379</v>
      </c>
    </row>
    <row r="61" ht="28" customHeight="1" spans="1:14">
      <c r="A61" s="86">
        <v>13</v>
      </c>
      <c r="B61" s="86" t="s">
        <v>343</v>
      </c>
      <c r="C61" s="106" t="s">
        <v>199</v>
      </c>
      <c r="D61" s="86" t="s">
        <v>25</v>
      </c>
      <c r="E61" s="86" t="s">
        <v>24</v>
      </c>
      <c r="F61" s="86">
        <v>3</v>
      </c>
      <c r="G61" s="86">
        <v>23.13</v>
      </c>
      <c r="H61" s="86" t="s">
        <v>37</v>
      </c>
      <c r="I61" s="86" t="s">
        <v>49</v>
      </c>
      <c r="J61" s="86" t="s">
        <v>37</v>
      </c>
      <c r="K61" s="86" t="s">
        <v>335</v>
      </c>
      <c r="L61" s="86" t="s">
        <v>198</v>
      </c>
      <c r="M61" s="86" t="s">
        <v>201</v>
      </c>
      <c r="N61" s="107" t="s">
        <v>367</v>
      </c>
    </row>
    <row r="62" ht="28" customHeight="1" spans="1:14">
      <c r="A62" s="85">
        <v>14</v>
      </c>
      <c r="B62" s="85" t="s">
        <v>325</v>
      </c>
      <c r="C62" s="92" t="s">
        <v>217</v>
      </c>
      <c r="D62" s="85" t="s">
        <v>25</v>
      </c>
      <c r="E62" s="85" t="s">
        <v>72</v>
      </c>
      <c r="F62" s="85">
        <v>9</v>
      </c>
      <c r="G62" s="85">
        <v>4.13</v>
      </c>
      <c r="H62" s="85" t="s">
        <v>218</v>
      </c>
      <c r="I62" s="85" t="s">
        <v>108</v>
      </c>
      <c r="J62" s="85" t="s">
        <v>108</v>
      </c>
      <c r="K62" s="94">
        <f>G62/H62</f>
        <v>9.3018018018018</v>
      </c>
      <c r="L62" s="85" t="s">
        <v>221</v>
      </c>
      <c r="M62" s="85" t="s">
        <v>219</v>
      </c>
      <c r="N62" s="95" t="s">
        <v>380</v>
      </c>
    </row>
    <row r="63" ht="28" customHeight="1" spans="1:14">
      <c r="A63" s="86">
        <v>15</v>
      </c>
      <c r="B63" s="86" t="s">
        <v>343</v>
      </c>
      <c r="C63" s="106" t="s">
        <v>254</v>
      </c>
      <c r="D63" s="86" t="s">
        <v>25</v>
      </c>
      <c r="E63" s="86" t="s">
        <v>72</v>
      </c>
      <c r="F63" s="86">
        <v>10</v>
      </c>
      <c r="G63" s="86">
        <v>5.41</v>
      </c>
      <c r="H63" s="86" t="s">
        <v>45</v>
      </c>
      <c r="I63" s="86" t="s">
        <v>115</v>
      </c>
      <c r="J63" s="86" t="s">
        <v>37</v>
      </c>
      <c r="K63" s="86" t="s">
        <v>335</v>
      </c>
      <c r="L63" s="86" t="s">
        <v>31</v>
      </c>
      <c r="M63" s="86" t="s">
        <v>256</v>
      </c>
      <c r="N63" s="107" t="s">
        <v>381</v>
      </c>
    </row>
    <row r="64" ht="28" customHeight="1" spans="1:14">
      <c r="A64" s="86">
        <v>16</v>
      </c>
      <c r="B64" s="86" t="s">
        <v>343</v>
      </c>
      <c r="C64" s="106" t="s">
        <v>264</v>
      </c>
      <c r="D64" s="86" t="s">
        <v>25</v>
      </c>
      <c r="E64" s="86" t="s">
        <v>72</v>
      </c>
      <c r="F64" s="86">
        <v>7</v>
      </c>
      <c r="G64" s="86">
        <v>8.6</v>
      </c>
      <c r="H64" s="86" t="s">
        <v>160</v>
      </c>
      <c r="I64" s="86" t="s">
        <v>160</v>
      </c>
      <c r="J64" s="86" t="s">
        <v>37</v>
      </c>
      <c r="K64" s="86" t="s">
        <v>335</v>
      </c>
      <c r="L64" s="86" t="s">
        <v>267</v>
      </c>
      <c r="M64" s="86" t="s">
        <v>265</v>
      </c>
      <c r="N64" s="107" t="s">
        <v>382</v>
      </c>
    </row>
    <row r="66" ht="16.5" customHeight="1" spans="1:14">
      <c r="A66" s="88" t="s">
        <v>383</v>
      </c>
    </row>
    <row r="67" ht="32" customHeight="1" spans="1:14">
      <c r="A67" s="71" t="s">
        <v>319</v>
      </c>
      <c r="B67" s="71" t="s">
        <v>320</v>
      </c>
      <c r="C67" s="71" t="s">
        <v>2</v>
      </c>
      <c r="D67" s="71" t="s">
        <v>321</v>
      </c>
      <c r="E67" s="71" t="s">
        <v>5</v>
      </c>
      <c r="F67" s="71" t="s">
        <v>7</v>
      </c>
      <c r="G67" s="71" t="s">
        <v>8</v>
      </c>
      <c r="H67" s="71" t="s">
        <v>9</v>
      </c>
      <c r="I67" s="71" t="s">
        <v>10</v>
      </c>
      <c r="J67" s="71" t="s">
        <v>11</v>
      </c>
      <c r="K67" s="71" t="s">
        <v>12</v>
      </c>
      <c r="L67" s="71" t="s">
        <v>322</v>
      </c>
      <c r="M67" s="71" t="s">
        <v>323</v>
      </c>
      <c r="N67" s="71" t="s">
        <v>324</v>
      </c>
    </row>
    <row r="68" ht="28" customHeight="1" spans="1:14">
      <c r="A68" s="85">
        <v>1</v>
      </c>
      <c r="B68" s="85" t="s">
        <v>325</v>
      </c>
      <c r="C68" s="92" t="s">
        <v>355</v>
      </c>
      <c r="D68" s="85" t="s">
        <v>25</v>
      </c>
      <c r="E68" s="85" t="s">
        <v>24</v>
      </c>
      <c r="F68" s="85">
        <v>27</v>
      </c>
      <c r="G68" s="85">
        <v>3.68</v>
      </c>
      <c r="H68" s="85" t="s">
        <v>108</v>
      </c>
      <c r="I68" s="85" t="s">
        <v>90</v>
      </c>
      <c r="J68" s="85" t="s">
        <v>90</v>
      </c>
      <c r="K68" s="94">
        <f t="shared" ref="K68:K71" si="2">G68/H68</f>
        <v>11.0510510510511</v>
      </c>
      <c r="L68" s="85" t="s">
        <v>152</v>
      </c>
      <c r="M68" s="85" t="s">
        <v>150</v>
      </c>
      <c r="N68" s="95" t="s">
        <v>356</v>
      </c>
    </row>
    <row r="69" ht="28" customHeight="1" spans="1:14">
      <c r="A69" s="85">
        <v>2</v>
      </c>
      <c r="B69" s="85" t="s">
        <v>325</v>
      </c>
      <c r="C69" s="92" t="s">
        <v>357</v>
      </c>
      <c r="D69" s="85" t="s">
        <v>25</v>
      </c>
      <c r="E69" s="85" t="s">
        <v>24</v>
      </c>
      <c r="F69" s="85">
        <v>232</v>
      </c>
      <c r="G69" s="85">
        <v>4.36</v>
      </c>
      <c r="H69" s="85" t="s">
        <v>132</v>
      </c>
      <c r="I69" s="85" t="s">
        <v>133</v>
      </c>
      <c r="J69" s="85" t="s">
        <v>134</v>
      </c>
      <c r="K69" s="94">
        <f t="shared" si="2"/>
        <v>15.7971014492754</v>
      </c>
      <c r="L69" s="85" t="s">
        <v>137</v>
      </c>
      <c r="M69" s="85" t="s">
        <v>135</v>
      </c>
      <c r="N69" s="95" t="s">
        <v>351</v>
      </c>
    </row>
    <row r="70" ht="28" customHeight="1" spans="1:14">
      <c r="A70" s="83">
        <v>3</v>
      </c>
      <c r="B70" s="83" t="s">
        <v>337</v>
      </c>
      <c r="C70" s="82" t="s">
        <v>153</v>
      </c>
      <c r="D70" s="83" t="s">
        <v>25</v>
      </c>
      <c r="E70" s="83" t="s">
        <v>24</v>
      </c>
      <c r="F70" s="83">
        <v>6</v>
      </c>
      <c r="G70" s="83">
        <v>5.49</v>
      </c>
      <c r="H70" s="83" t="s">
        <v>44</v>
      </c>
      <c r="I70" s="83" t="s">
        <v>49</v>
      </c>
      <c r="J70" s="83" t="s">
        <v>108</v>
      </c>
      <c r="K70" s="83" t="s">
        <v>335</v>
      </c>
      <c r="L70" s="83" t="s">
        <v>157</v>
      </c>
      <c r="M70" s="83" t="s">
        <v>155</v>
      </c>
      <c r="N70" s="87" t="s">
        <v>358</v>
      </c>
    </row>
    <row r="71" ht="28" customHeight="1" spans="1:14">
      <c r="A71" s="85">
        <v>4</v>
      </c>
      <c r="B71" s="85" t="s">
        <v>325</v>
      </c>
      <c r="C71" s="92" t="s">
        <v>352</v>
      </c>
      <c r="D71" s="85" t="s">
        <v>25</v>
      </c>
      <c r="E71" s="85" t="s">
        <v>24</v>
      </c>
      <c r="F71" s="85">
        <v>96</v>
      </c>
      <c r="G71" s="85">
        <v>6.88</v>
      </c>
      <c r="H71" s="85" t="s">
        <v>141</v>
      </c>
      <c r="I71" s="85" t="s">
        <v>142</v>
      </c>
      <c r="J71" s="85" t="s">
        <v>143</v>
      </c>
      <c r="K71" s="94">
        <f t="shared" si="2"/>
        <v>25.3874538745387</v>
      </c>
      <c r="L71" s="85" t="s">
        <v>146</v>
      </c>
      <c r="M71" s="85" t="s">
        <v>144</v>
      </c>
      <c r="N71" s="95" t="s">
        <v>353</v>
      </c>
    </row>
    <row r="72" ht="28" customHeight="1" spans="1:14">
      <c r="A72" s="99">
        <v>5</v>
      </c>
      <c r="B72" s="99" t="s">
        <v>343</v>
      </c>
      <c r="C72" s="100" t="s">
        <v>344</v>
      </c>
      <c r="D72" s="99" t="s">
        <v>25</v>
      </c>
      <c r="E72" s="99" t="s">
        <v>24</v>
      </c>
      <c r="F72" s="99">
        <v>4</v>
      </c>
      <c r="G72" s="99">
        <v>8.54</v>
      </c>
      <c r="H72" s="99" t="s">
        <v>53</v>
      </c>
      <c r="I72" s="99" t="s">
        <v>53</v>
      </c>
      <c r="J72" s="99" t="s">
        <v>37</v>
      </c>
      <c r="K72" s="99" t="s">
        <v>335</v>
      </c>
      <c r="L72" s="99" t="s">
        <v>123</v>
      </c>
      <c r="M72" s="99" t="s">
        <v>121</v>
      </c>
      <c r="N72" s="101" t="s">
        <v>345</v>
      </c>
    </row>
    <row r="73" ht="28" customHeight="1" spans="1:14">
      <c r="A73" s="86">
        <v>6</v>
      </c>
      <c r="B73" s="86" t="s">
        <v>343</v>
      </c>
      <c r="C73" s="106" t="s">
        <v>306</v>
      </c>
      <c r="D73" s="86" t="s">
        <v>25</v>
      </c>
      <c r="E73" s="86" t="s">
        <v>24</v>
      </c>
      <c r="F73" s="86">
        <v>5</v>
      </c>
      <c r="G73" s="86">
        <v>11.14</v>
      </c>
      <c r="H73" s="86" t="s">
        <v>116</v>
      </c>
      <c r="I73" s="86" t="s">
        <v>49</v>
      </c>
      <c r="J73" s="86" t="s">
        <v>37</v>
      </c>
      <c r="K73" s="86" t="s">
        <v>335</v>
      </c>
      <c r="L73" s="86" t="s">
        <v>64</v>
      </c>
      <c r="M73" s="86" t="s">
        <v>196</v>
      </c>
      <c r="N73" s="107" t="s">
        <v>384</v>
      </c>
    </row>
    <row r="74" ht="28" customHeight="1" spans="1:14">
      <c r="A74" s="99">
        <v>7</v>
      </c>
      <c r="B74" s="99" t="s">
        <v>337</v>
      </c>
      <c r="C74" s="100" t="s">
        <v>309</v>
      </c>
      <c r="D74" s="99" t="s">
        <v>25</v>
      </c>
      <c r="E74" s="99" t="s">
        <v>72</v>
      </c>
      <c r="F74" s="99">
        <v>43</v>
      </c>
      <c r="G74" s="99">
        <v>3.8</v>
      </c>
      <c r="H74" s="99" t="s">
        <v>311</v>
      </c>
      <c r="I74" s="99" t="s">
        <v>271</v>
      </c>
      <c r="J74" s="99" t="s">
        <v>111</v>
      </c>
      <c r="K74" s="99" t="s">
        <v>335</v>
      </c>
      <c r="L74" s="99" t="s">
        <v>295</v>
      </c>
      <c r="M74" s="99" t="s">
        <v>312</v>
      </c>
      <c r="N74" s="101" t="s">
        <v>385</v>
      </c>
    </row>
    <row r="75" ht="28" customHeight="1" spans="1:14">
      <c r="A75" s="99">
        <v>8</v>
      </c>
      <c r="B75" s="99" t="s">
        <v>337</v>
      </c>
      <c r="C75" s="100" t="s">
        <v>309</v>
      </c>
      <c r="D75" s="99" t="s">
        <v>66</v>
      </c>
      <c r="E75" s="99" t="s">
        <v>72</v>
      </c>
      <c r="F75" s="99">
        <v>6</v>
      </c>
      <c r="G75" s="99">
        <v>5.66</v>
      </c>
      <c r="H75" s="99" t="s">
        <v>44</v>
      </c>
      <c r="I75" s="99" t="s">
        <v>49</v>
      </c>
      <c r="J75" s="99" t="s">
        <v>44</v>
      </c>
      <c r="K75" s="99" t="s">
        <v>335</v>
      </c>
      <c r="L75" s="99" t="s">
        <v>126</v>
      </c>
      <c r="M75" s="99" t="s">
        <v>314</v>
      </c>
      <c r="N75" s="101" t="s">
        <v>386</v>
      </c>
    </row>
    <row r="77" ht="16.5" customHeight="1" spans="1:14">
      <c r="A77" s="88" t="s">
        <v>387</v>
      </c>
    </row>
    <row r="78" ht="32" customHeight="1" spans="1:14">
      <c r="A78" s="71" t="s">
        <v>319</v>
      </c>
      <c r="B78" s="71" t="s">
        <v>320</v>
      </c>
      <c r="C78" s="71" t="s">
        <v>2</v>
      </c>
      <c r="D78" s="71" t="s">
        <v>321</v>
      </c>
      <c r="E78" s="71" t="s">
        <v>5</v>
      </c>
      <c r="F78" s="71" t="s">
        <v>7</v>
      </c>
      <c r="G78" s="71" t="s">
        <v>8</v>
      </c>
      <c r="H78" s="71" t="s">
        <v>9</v>
      </c>
      <c r="I78" s="71" t="s">
        <v>10</v>
      </c>
      <c r="J78" s="71" t="s">
        <v>11</v>
      </c>
      <c r="K78" s="71" t="s">
        <v>12</v>
      </c>
      <c r="L78" s="71" t="s">
        <v>322</v>
      </c>
      <c r="M78" s="71" t="s">
        <v>323</v>
      </c>
      <c r="N78" s="71" t="s">
        <v>324</v>
      </c>
    </row>
    <row r="79" ht="28" customHeight="1" spans="1:14">
      <c r="A79" s="99">
        <v>1</v>
      </c>
      <c r="B79" s="99" t="s">
        <v>337</v>
      </c>
      <c r="C79" s="100" t="s">
        <v>237</v>
      </c>
      <c r="D79" s="99" t="s">
        <v>66</v>
      </c>
      <c r="E79" s="99" t="s">
        <v>24</v>
      </c>
      <c r="F79" s="99">
        <v>21</v>
      </c>
      <c r="G79" s="99">
        <v>8.15</v>
      </c>
      <c r="H79" s="99" t="s">
        <v>238</v>
      </c>
      <c r="I79" s="99" t="s">
        <v>207</v>
      </c>
      <c r="J79" s="99" t="s">
        <v>207</v>
      </c>
      <c r="K79" s="99" t="s">
        <v>335</v>
      </c>
      <c r="L79" s="99" t="s">
        <v>218</v>
      </c>
      <c r="M79" s="99" t="s">
        <v>239</v>
      </c>
      <c r="N79" s="101" t="s">
        <v>371</v>
      </c>
    </row>
    <row r="80" ht="28" customHeight="1" spans="1:14">
      <c r="A80" s="85">
        <v>2</v>
      </c>
      <c r="B80" s="85" t="s">
        <v>325</v>
      </c>
      <c r="C80" s="92" t="s">
        <v>346</v>
      </c>
      <c r="D80" s="85" t="s">
        <v>25</v>
      </c>
      <c r="E80" s="85" t="s">
        <v>24</v>
      </c>
      <c r="F80" s="85">
        <v>44</v>
      </c>
      <c r="G80" s="85">
        <v>8.6</v>
      </c>
      <c r="H80" s="85" t="s">
        <v>26</v>
      </c>
      <c r="I80" s="85" t="s">
        <v>27</v>
      </c>
      <c r="J80" s="85" t="s">
        <v>28</v>
      </c>
      <c r="K80" s="94">
        <f>G80/H80</f>
        <v>27.0440251572327</v>
      </c>
      <c r="L80" s="85" t="s">
        <v>31</v>
      </c>
      <c r="M80" s="85" t="s">
        <v>29</v>
      </c>
      <c r="N80" s="95" t="s">
        <v>388</v>
      </c>
    </row>
    <row r="81" ht="28" customHeight="1" spans="1:14">
      <c r="A81" s="99">
        <v>3</v>
      </c>
      <c r="B81" s="99" t="s">
        <v>343</v>
      </c>
      <c r="C81" s="100" t="s">
        <v>347</v>
      </c>
      <c r="D81" s="99" t="s">
        <v>66</v>
      </c>
      <c r="E81" s="99" t="s">
        <v>24</v>
      </c>
      <c r="F81" s="99">
        <v>4</v>
      </c>
      <c r="G81" s="99">
        <v>9.59</v>
      </c>
      <c r="H81" s="99" t="s">
        <v>53</v>
      </c>
      <c r="I81" s="99" t="s">
        <v>53</v>
      </c>
      <c r="J81" s="99" t="s">
        <v>37</v>
      </c>
      <c r="K81" s="99" t="s">
        <v>335</v>
      </c>
      <c r="L81" s="99" t="s">
        <v>105</v>
      </c>
      <c r="M81" s="99" t="s">
        <v>103</v>
      </c>
      <c r="N81" s="101" t="s">
        <v>348</v>
      </c>
    </row>
    <row r="82" ht="28" customHeight="1" spans="1:14">
      <c r="A82" s="99">
        <v>4</v>
      </c>
      <c r="B82" s="99" t="s">
        <v>325</v>
      </c>
      <c r="C82" s="100" t="s">
        <v>347</v>
      </c>
      <c r="D82" s="99" t="s">
        <v>25</v>
      </c>
      <c r="E82" s="99" t="s">
        <v>24</v>
      </c>
      <c r="F82" s="99">
        <v>3</v>
      </c>
      <c r="G82" s="99">
        <v>10.8</v>
      </c>
      <c r="H82" s="99" t="s">
        <v>107</v>
      </c>
      <c r="I82" s="99" t="s">
        <v>108</v>
      </c>
      <c r="J82" s="99" t="s">
        <v>108</v>
      </c>
      <c r="K82" s="99" t="s">
        <v>335</v>
      </c>
      <c r="L82" s="99" t="s">
        <v>111</v>
      </c>
      <c r="M82" s="99" t="s">
        <v>109</v>
      </c>
      <c r="N82" s="101" t="s">
        <v>349</v>
      </c>
    </row>
    <row r="83" ht="28" customHeight="1" spans="1:14">
      <c r="A83" s="86">
        <v>5</v>
      </c>
      <c r="B83" s="86" t="s">
        <v>343</v>
      </c>
      <c r="C83" s="106" t="s">
        <v>212</v>
      </c>
      <c r="D83" s="86" t="s">
        <v>25</v>
      </c>
      <c r="E83" s="86" t="s">
        <v>24</v>
      </c>
      <c r="F83" s="86">
        <v>6</v>
      </c>
      <c r="G83" s="86">
        <v>14.24</v>
      </c>
      <c r="H83" s="86" t="s">
        <v>108</v>
      </c>
      <c r="I83" s="86" t="s">
        <v>49</v>
      </c>
      <c r="J83" s="86" t="s">
        <v>37</v>
      </c>
      <c r="K83" s="86" t="s">
        <v>335</v>
      </c>
      <c r="L83" s="86" t="s">
        <v>216</v>
      </c>
      <c r="M83" s="86" t="s">
        <v>214</v>
      </c>
      <c r="N83" s="107" t="s">
        <v>377</v>
      </c>
    </row>
    <row r="84" ht="28" customHeight="1" spans="1:14">
      <c r="A84" s="99">
        <v>6</v>
      </c>
      <c r="B84" s="99" t="s">
        <v>337</v>
      </c>
      <c r="C84" s="100" t="s">
        <v>237</v>
      </c>
      <c r="D84" s="99" t="s">
        <v>25</v>
      </c>
      <c r="E84" s="99" t="s">
        <v>24</v>
      </c>
      <c r="F84" s="99">
        <v>15</v>
      </c>
      <c r="G84" s="99">
        <v>15.44</v>
      </c>
      <c r="H84" s="99" t="s">
        <v>73</v>
      </c>
      <c r="I84" s="99" t="s">
        <v>241</v>
      </c>
      <c r="J84" s="99" t="s">
        <v>242</v>
      </c>
      <c r="K84" s="99" t="s">
        <v>335</v>
      </c>
      <c r="L84" s="99" t="s">
        <v>245</v>
      </c>
      <c r="M84" s="99" t="s">
        <v>243</v>
      </c>
      <c r="N84" s="101" t="s">
        <v>378</v>
      </c>
    </row>
    <row r="85" ht="28" customHeight="1" spans="1:14">
      <c r="A85" s="85">
        <v>7</v>
      </c>
      <c r="B85" s="85" t="s">
        <v>325</v>
      </c>
      <c r="C85" s="92" t="s">
        <v>272</v>
      </c>
      <c r="D85" s="85" t="s">
        <v>25</v>
      </c>
      <c r="E85" s="85" t="s">
        <v>24</v>
      </c>
      <c r="F85" s="85">
        <v>11</v>
      </c>
      <c r="G85" s="85">
        <v>19.27</v>
      </c>
      <c r="H85" s="85" t="s">
        <v>165</v>
      </c>
      <c r="I85" s="85" t="s">
        <v>166</v>
      </c>
      <c r="J85" s="85" t="s">
        <v>28</v>
      </c>
      <c r="K85" s="94">
        <f>G85/H85</f>
        <v>52.9395604395604</v>
      </c>
      <c r="L85" s="85" t="s">
        <v>276</v>
      </c>
      <c r="M85" s="85" t="s">
        <v>274</v>
      </c>
      <c r="N85" s="95" t="s">
        <v>379</v>
      </c>
    </row>
    <row r="86" ht="28" customHeight="1" spans="1:14">
      <c r="A86" s="86">
        <v>8</v>
      </c>
      <c r="B86" s="86" t="s">
        <v>343</v>
      </c>
      <c r="C86" s="106" t="s">
        <v>199</v>
      </c>
      <c r="D86" s="86" t="s">
        <v>25</v>
      </c>
      <c r="E86" s="86" t="s">
        <v>24</v>
      </c>
      <c r="F86" s="86">
        <v>3</v>
      </c>
      <c r="G86" s="86">
        <v>23.13</v>
      </c>
      <c r="H86" s="86" t="s">
        <v>37</v>
      </c>
      <c r="I86" s="86" t="s">
        <v>49</v>
      </c>
      <c r="J86" s="86" t="s">
        <v>37</v>
      </c>
      <c r="K86" s="86" t="s">
        <v>335</v>
      </c>
      <c r="L86" s="86" t="s">
        <v>198</v>
      </c>
      <c r="M86" s="86" t="s">
        <v>201</v>
      </c>
      <c r="N86" s="107" t="s">
        <v>367</v>
      </c>
    </row>
    <row r="87" ht="28" customHeight="1" spans="1:14">
      <c r="A87" s="99">
        <v>9</v>
      </c>
      <c r="B87" s="99" t="s">
        <v>337</v>
      </c>
      <c r="C87" s="100" t="s">
        <v>309</v>
      </c>
      <c r="D87" s="99" t="s">
        <v>25</v>
      </c>
      <c r="E87" s="99" t="s">
        <v>72</v>
      </c>
      <c r="F87" s="99">
        <v>43</v>
      </c>
      <c r="G87" s="99">
        <v>3.8</v>
      </c>
      <c r="H87" s="99" t="s">
        <v>311</v>
      </c>
      <c r="I87" s="99" t="s">
        <v>271</v>
      </c>
      <c r="J87" s="99" t="s">
        <v>111</v>
      </c>
      <c r="K87" s="99" t="s">
        <v>335</v>
      </c>
      <c r="L87" s="99" t="s">
        <v>295</v>
      </c>
      <c r="M87" s="99" t="s">
        <v>312</v>
      </c>
      <c r="N87" s="101" t="s">
        <v>385</v>
      </c>
    </row>
    <row r="88" ht="28" customHeight="1" spans="1:14">
      <c r="A88" s="86">
        <v>10</v>
      </c>
      <c r="B88" s="86" t="s">
        <v>343</v>
      </c>
      <c r="C88" s="106" t="s">
        <v>254</v>
      </c>
      <c r="D88" s="86" t="s">
        <v>25</v>
      </c>
      <c r="E88" s="86" t="s">
        <v>72</v>
      </c>
      <c r="F88" s="86">
        <v>10</v>
      </c>
      <c r="G88" s="86">
        <v>5.41</v>
      </c>
      <c r="H88" s="86" t="s">
        <v>45</v>
      </c>
      <c r="I88" s="86" t="s">
        <v>115</v>
      </c>
      <c r="J88" s="86" t="s">
        <v>37</v>
      </c>
      <c r="K88" s="86" t="s">
        <v>335</v>
      </c>
      <c r="L88" s="86" t="s">
        <v>31</v>
      </c>
      <c r="M88" s="86" t="s">
        <v>256</v>
      </c>
      <c r="N88" s="107" t="s">
        <v>381</v>
      </c>
    </row>
    <row r="89" ht="28" customHeight="1" spans="1:14">
      <c r="A89" s="99">
        <v>11</v>
      </c>
      <c r="B89" s="99" t="s">
        <v>337</v>
      </c>
      <c r="C89" s="100" t="s">
        <v>309</v>
      </c>
      <c r="D89" s="99" t="s">
        <v>66</v>
      </c>
      <c r="E89" s="99" t="s">
        <v>72</v>
      </c>
      <c r="F89" s="99">
        <v>6</v>
      </c>
      <c r="G89" s="99">
        <v>5.66</v>
      </c>
      <c r="H89" s="99" t="s">
        <v>44</v>
      </c>
      <c r="I89" s="99" t="s">
        <v>49</v>
      </c>
      <c r="J89" s="99" t="s">
        <v>44</v>
      </c>
      <c r="K89" s="99" t="s">
        <v>335</v>
      </c>
      <c r="L89" s="99" t="s">
        <v>126</v>
      </c>
      <c r="M89" s="99" t="s">
        <v>314</v>
      </c>
      <c r="N89" s="101" t="s">
        <v>386</v>
      </c>
    </row>
    <row r="90" ht="28" customHeight="1" spans="1:14">
      <c r="A90" s="86">
        <v>12</v>
      </c>
      <c r="B90" s="86" t="s">
        <v>343</v>
      </c>
      <c r="C90" s="106" t="s">
        <v>264</v>
      </c>
      <c r="D90" s="86" t="s">
        <v>25</v>
      </c>
      <c r="E90" s="86" t="s">
        <v>72</v>
      </c>
      <c r="F90" s="86">
        <v>7</v>
      </c>
      <c r="G90" s="86">
        <v>8.6</v>
      </c>
      <c r="H90" s="86" t="s">
        <v>160</v>
      </c>
      <c r="I90" s="86" t="s">
        <v>160</v>
      </c>
      <c r="J90" s="86" t="s">
        <v>37</v>
      </c>
      <c r="K90" s="86" t="s">
        <v>335</v>
      </c>
      <c r="L90" s="86" t="s">
        <v>267</v>
      </c>
      <c r="M90" s="86" t="s">
        <v>265</v>
      </c>
      <c r="N90" s="107" t="s">
        <v>382</v>
      </c>
    </row>
    <row r="92" ht="16.5" customHeight="1" spans="1:14">
      <c r="A92" s="88" t="s">
        <v>389</v>
      </c>
    </row>
    <row r="93" ht="32" customHeight="1" spans="1:14">
      <c r="A93" s="71" t="s">
        <v>319</v>
      </c>
      <c r="B93" s="71" t="s">
        <v>320</v>
      </c>
      <c r="C93" s="71" t="s">
        <v>2</v>
      </c>
      <c r="D93" s="71" t="s">
        <v>321</v>
      </c>
      <c r="E93" s="71" t="s">
        <v>5</v>
      </c>
      <c r="F93" s="71" t="s">
        <v>7</v>
      </c>
      <c r="G93" s="71" t="s">
        <v>8</v>
      </c>
      <c r="H93" s="71" t="s">
        <v>9</v>
      </c>
      <c r="I93" s="71" t="s">
        <v>10</v>
      </c>
      <c r="J93" s="71" t="s">
        <v>11</v>
      </c>
      <c r="K93" s="71" t="s">
        <v>12</v>
      </c>
      <c r="L93" s="71" t="s">
        <v>322</v>
      </c>
      <c r="M93" s="71" t="s">
        <v>323</v>
      </c>
      <c r="N93" s="71" t="s">
        <v>324</v>
      </c>
    </row>
    <row r="94" ht="28" customHeight="1" spans="1:14">
      <c r="A94" s="99">
        <v>1</v>
      </c>
      <c r="B94" s="99" t="s">
        <v>325</v>
      </c>
      <c r="C94" s="100" t="s">
        <v>280</v>
      </c>
      <c r="D94" s="99" t="s">
        <v>66</v>
      </c>
      <c r="E94" s="99" t="s">
        <v>24</v>
      </c>
      <c r="F94" s="99">
        <v>128</v>
      </c>
      <c r="G94" s="99">
        <v>8.38</v>
      </c>
      <c r="H94" s="99" t="s">
        <v>282</v>
      </c>
      <c r="I94" s="99" t="s">
        <v>99</v>
      </c>
      <c r="J94" s="99" t="s">
        <v>236</v>
      </c>
      <c r="K94" s="99" t="s">
        <v>335</v>
      </c>
      <c r="L94" s="99" t="s">
        <v>284</v>
      </c>
      <c r="M94" s="99" t="s">
        <v>283</v>
      </c>
      <c r="N94" s="101" t="s">
        <v>390</v>
      </c>
    </row>
    <row r="95" ht="28" customHeight="1" spans="1:14">
      <c r="A95" s="99">
        <v>2</v>
      </c>
      <c r="B95" s="99" t="s">
        <v>325</v>
      </c>
      <c r="C95" s="100" t="s">
        <v>280</v>
      </c>
      <c r="D95" s="99" t="s">
        <v>25</v>
      </c>
      <c r="E95" s="99" t="s">
        <v>24</v>
      </c>
      <c r="F95" s="99">
        <v>95</v>
      </c>
      <c r="G95" s="99">
        <v>8.7</v>
      </c>
      <c r="H95" s="99" t="s">
        <v>286</v>
      </c>
      <c r="I95" s="99" t="s">
        <v>287</v>
      </c>
      <c r="J95" s="99" t="s">
        <v>287</v>
      </c>
      <c r="K95" s="99" t="s">
        <v>335</v>
      </c>
      <c r="L95" s="99" t="s">
        <v>290</v>
      </c>
      <c r="M95" s="99" t="s">
        <v>288</v>
      </c>
      <c r="N95" s="101" t="s">
        <v>391</v>
      </c>
    </row>
  </sheetData>
  <mergeCells count="10">
    <mergeCell ref="A1:N1"/>
    <mergeCell ref="A2:N2"/>
    <mergeCell ref="A4:N4"/>
    <mergeCell ref="A18:N18"/>
    <mergeCell ref="A23:N23"/>
    <mergeCell ref="A29:N29"/>
    <mergeCell ref="A47:N47"/>
    <mergeCell ref="A66:N66"/>
    <mergeCell ref="A77:N77"/>
    <mergeCell ref="A92:N9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4" sqref="$A4:$XFD11"/>
    </sheetView>
  </sheetViews>
  <sheetFormatPr defaultColWidth="9" defaultRowHeight="13.5" outlineLevelCol="7"/>
  <cols>
    <col min="1" max="1" width="28" customWidth="1"/>
    <col min="2" max="5" width="10" customWidth="1"/>
    <col min="6" max="6" width="55" customWidth="1"/>
    <col min="7" max="7" width="45" customWidth="1"/>
    <col min="8" max="8" width="15" customWidth="1"/>
  </cols>
  <sheetData>
    <row r="1" ht="30" customHeight="1" spans="1:8">
      <c r="A1" s="68" t="s">
        <v>392</v>
      </c>
    </row>
    <row r="3" ht="30" customHeight="1" spans="1:8">
      <c r="A3" s="71" t="s">
        <v>393</v>
      </c>
      <c r="B3" s="71" t="s">
        <v>394</v>
      </c>
      <c r="C3" s="71" t="s">
        <v>395</v>
      </c>
      <c r="D3" s="71" t="s">
        <v>396</v>
      </c>
      <c r="E3" s="71" t="s">
        <v>397</v>
      </c>
      <c r="F3" s="71" t="s">
        <v>398</v>
      </c>
      <c r="G3" s="71" t="s">
        <v>399</v>
      </c>
      <c r="H3" s="71" t="s">
        <v>400</v>
      </c>
    </row>
    <row r="4" ht="65" customHeight="1" spans="1:8">
      <c r="A4" s="82" t="s">
        <v>401</v>
      </c>
      <c r="B4" s="83">
        <v>16</v>
      </c>
      <c r="C4" s="84">
        <v>6</v>
      </c>
      <c r="D4" s="85">
        <v>0</v>
      </c>
      <c r="E4" s="86">
        <v>10</v>
      </c>
      <c r="F4" s="87" t="s">
        <v>402</v>
      </c>
      <c r="G4" s="87" t="s">
        <v>403</v>
      </c>
      <c r="H4" s="83" t="s">
        <v>404</v>
      </c>
    </row>
    <row r="5" ht="65" customHeight="1" spans="1:8">
      <c r="A5" s="82" t="s">
        <v>405</v>
      </c>
      <c r="B5" s="83">
        <v>2</v>
      </c>
      <c r="C5" s="84">
        <v>2</v>
      </c>
      <c r="D5" s="85">
        <v>0</v>
      </c>
      <c r="E5" s="86">
        <v>0</v>
      </c>
      <c r="F5" s="87" t="s">
        <v>406</v>
      </c>
      <c r="G5" s="87" t="s">
        <v>407</v>
      </c>
      <c r="H5" s="83" t="s">
        <v>404</v>
      </c>
    </row>
    <row r="6" ht="65" customHeight="1" spans="1:8">
      <c r="A6" s="82" t="s">
        <v>408</v>
      </c>
      <c r="B6" s="83">
        <v>3</v>
      </c>
      <c r="C6" s="84">
        <v>2</v>
      </c>
      <c r="D6" s="85">
        <v>0</v>
      </c>
      <c r="E6" s="86">
        <v>1</v>
      </c>
      <c r="F6" s="87" t="s">
        <v>409</v>
      </c>
      <c r="G6" s="87" t="s">
        <v>410</v>
      </c>
      <c r="H6" s="83" t="s">
        <v>404</v>
      </c>
    </row>
    <row r="7" ht="65" customHeight="1" spans="1:8">
      <c r="A7" s="82" t="s">
        <v>411</v>
      </c>
      <c r="B7" s="83">
        <v>20</v>
      </c>
      <c r="C7" s="84">
        <v>5</v>
      </c>
      <c r="D7" s="85">
        <v>1</v>
      </c>
      <c r="E7" s="86">
        <v>14</v>
      </c>
      <c r="F7" s="87" t="s">
        <v>412</v>
      </c>
      <c r="G7" s="87" t="s">
        <v>413</v>
      </c>
      <c r="H7" s="83" t="s">
        <v>414</v>
      </c>
    </row>
    <row r="8" ht="65" customHeight="1" spans="1:8">
      <c r="A8" s="82" t="s">
        <v>204</v>
      </c>
      <c r="B8" s="83">
        <v>20</v>
      </c>
      <c r="C8" s="84">
        <v>4</v>
      </c>
      <c r="D8" s="85">
        <v>3</v>
      </c>
      <c r="E8" s="86">
        <v>13</v>
      </c>
      <c r="F8" s="87" t="s">
        <v>415</v>
      </c>
      <c r="G8" s="87" t="s">
        <v>416</v>
      </c>
      <c r="H8" s="83" t="s">
        <v>414</v>
      </c>
    </row>
    <row r="9" ht="65" customHeight="1" spans="1:8">
      <c r="A9" s="82" t="s">
        <v>307</v>
      </c>
      <c r="B9" s="83">
        <v>9</v>
      </c>
      <c r="C9" s="84">
        <v>3</v>
      </c>
      <c r="D9" s="85">
        <v>0</v>
      </c>
      <c r="E9" s="86">
        <v>6</v>
      </c>
      <c r="F9" s="87" t="s">
        <v>417</v>
      </c>
      <c r="G9" s="87" t="s">
        <v>410</v>
      </c>
      <c r="H9" s="83" t="s">
        <v>414</v>
      </c>
    </row>
    <row r="10" ht="65" customHeight="1" spans="1:8">
      <c r="A10" s="82" t="s">
        <v>418</v>
      </c>
      <c r="B10" s="83">
        <v>16</v>
      </c>
      <c r="C10" s="84">
        <v>2</v>
      </c>
      <c r="D10" s="85">
        <v>1</v>
      </c>
      <c r="E10" s="86">
        <v>13</v>
      </c>
      <c r="F10" s="87" t="s">
        <v>419</v>
      </c>
      <c r="G10" s="87" t="s">
        <v>420</v>
      </c>
      <c r="H10" s="83" t="s">
        <v>414</v>
      </c>
    </row>
    <row r="11" ht="65" customHeight="1" spans="1:8">
      <c r="A11" s="82" t="s">
        <v>281</v>
      </c>
      <c r="B11" s="83">
        <v>4</v>
      </c>
      <c r="C11" s="84">
        <v>0</v>
      </c>
      <c r="D11" s="85">
        <v>2</v>
      </c>
      <c r="E11" s="86">
        <v>2</v>
      </c>
      <c r="F11" s="87" t="s">
        <v>421</v>
      </c>
      <c r="G11" s="87" t="s">
        <v>422</v>
      </c>
      <c r="H11" s="83" t="s">
        <v>414</v>
      </c>
    </row>
    <row r="13" ht="16.5" customHeight="1" spans="1:8">
      <c r="A13" s="88" t="s">
        <v>423</v>
      </c>
    </row>
    <row r="14" ht="32" customHeight="1" spans="1:8">
      <c r="A14" s="89" t="s">
        <v>424</v>
      </c>
    </row>
    <row r="15" ht="32" customHeight="1" spans="1:8">
      <c r="A15" s="89" t="s">
        <v>425</v>
      </c>
    </row>
    <row r="16" ht="32" customHeight="1" spans="1:8">
      <c r="A16" s="89" t="s">
        <v>426</v>
      </c>
    </row>
    <row r="17" ht="32" customHeight="1" spans="1:1">
      <c r="A17" s="89" t="s">
        <v>427</v>
      </c>
    </row>
    <row r="18" ht="32" customHeight="1" spans="1:1">
      <c r="A18" s="89" t="s">
        <v>428</v>
      </c>
    </row>
    <row r="19" ht="32" customHeight="1" spans="1:1">
      <c r="A19" s="89" t="s">
        <v>429</v>
      </c>
    </row>
    <row r="20" ht="32" customHeight="1" spans="1:1">
      <c r="A20" s="89" t="s">
        <v>430</v>
      </c>
    </row>
  </sheetData>
  <mergeCells count="9">
    <mergeCell ref="A1:H1"/>
    <mergeCell ref="A13:H13"/>
    <mergeCell ref="A14:H14"/>
    <mergeCell ref="A15:H15"/>
    <mergeCell ref="A16:H16"/>
    <mergeCell ref="A17:H17"/>
    <mergeCell ref="A18:H18"/>
    <mergeCell ref="A19:H19"/>
    <mergeCell ref="A20:H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"/>
  <sheetViews>
    <sheetView workbookViewId="0">
      <selection activeCell="A1" sqref="A1:P1"/>
    </sheetView>
  </sheetViews>
  <sheetFormatPr defaultColWidth="9" defaultRowHeight="13.5"/>
  <cols>
    <col min="1" max="1" width="6" customWidth="1"/>
    <col min="2" max="2" width="8" customWidth="1"/>
    <col min="3" max="3" width="22" customWidth="1"/>
    <col min="4" max="4" width="10" customWidth="1"/>
    <col min="5" max="5" width="14" customWidth="1"/>
    <col min="6" max="6" width="10" customWidth="1"/>
    <col min="7" max="12" width="14" customWidth="1"/>
    <col min="13" max="13" width="20" customWidth="1"/>
    <col min="14" max="14" width="55" customWidth="1"/>
    <col min="15" max="15" width="50" customWidth="1"/>
    <col min="16" max="16" width="20" customWidth="1"/>
  </cols>
  <sheetData>
    <row r="1" ht="32" customHeight="1" spans="1:16">
      <c r="A1" s="68" t="s">
        <v>431</v>
      </c>
    </row>
    <row r="2" ht="28" customHeight="1" spans="1:16">
      <c r="A2" s="69" t="s">
        <v>432</v>
      </c>
    </row>
    <row r="4" ht="15.75" customHeight="1" spans="1:16">
      <c r="A4" s="70" t="s">
        <v>433</v>
      </c>
    </row>
    <row r="5" ht="35" customHeight="1" spans="1:16">
      <c r="A5" s="71" t="s">
        <v>320</v>
      </c>
      <c r="B5" s="71" t="s">
        <v>393</v>
      </c>
      <c r="C5" s="71" t="s">
        <v>2</v>
      </c>
      <c r="D5" s="71" t="s">
        <v>6</v>
      </c>
      <c r="E5" s="71" t="s">
        <v>434</v>
      </c>
      <c r="F5" s="71" t="s">
        <v>7</v>
      </c>
      <c r="G5" s="71" t="s">
        <v>8</v>
      </c>
      <c r="H5" s="71" t="s">
        <v>9</v>
      </c>
      <c r="I5" s="71" t="s">
        <v>10</v>
      </c>
      <c r="J5" s="71" t="s">
        <v>11</v>
      </c>
      <c r="K5" s="71" t="s">
        <v>12</v>
      </c>
      <c r="L5" s="71" t="s">
        <v>435</v>
      </c>
      <c r="M5" s="71" t="s">
        <v>436</v>
      </c>
      <c r="N5" s="71" t="s">
        <v>324</v>
      </c>
      <c r="O5" s="71" t="s">
        <v>437</v>
      </c>
      <c r="P5" s="71" t="s">
        <v>438</v>
      </c>
    </row>
    <row r="6" ht="90.6" customHeight="1" spans="1:16">
      <c r="A6" s="72" t="s">
        <v>439</v>
      </c>
      <c r="B6" s="73" t="s">
        <v>22</v>
      </c>
      <c r="C6" s="73" t="s">
        <v>333</v>
      </c>
      <c r="D6" s="73" t="s">
        <v>66</v>
      </c>
      <c r="E6" s="73" t="s">
        <v>440</v>
      </c>
      <c r="F6" s="73">
        <v>77</v>
      </c>
      <c r="G6" s="73" t="s">
        <v>441</v>
      </c>
      <c r="H6" s="73" t="s">
        <v>67</v>
      </c>
      <c r="I6" s="73" t="s">
        <v>28</v>
      </c>
      <c r="J6" s="73" t="s">
        <v>68</v>
      </c>
      <c r="K6" s="73" t="s">
        <v>442</v>
      </c>
      <c r="L6" s="73" t="s">
        <v>443</v>
      </c>
      <c r="M6" s="73" t="s">
        <v>444</v>
      </c>
      <c r="N6" s="74" t="s">
        <v>445</v>
      </c>
      <c r="O6" s="74" t="s">
        <v>446</v>
      </c>
      <c r="P6" s="73" t="s">
        <v>447</v>
      </c>
    </row>
    <row r="7" ht="92.4" customHeight="1" spans="1:16">
      <c r="A7" s="72" t="s">
        <v>448</v>
      </c>
      <c r="B7" s="73" t="s">
        <v>139</v>
      </c>
      <c r="C7" s="73" t="s">
        <v>357</v>
      </c>
      <c r="D7" s="73" t="s">
        <v>25</v>
      </c>
      <c r="E7" s="73" t="s">
        <v>449</v>
      </c>
      <c r="F7" s="73">
        <v>232</v>
      </c>
      <c r="G7" s="73" t="s">
        <v>450</v>
      </c>
      <c r="H7" s="73" t="s">
        <v>132</v>
      </c>
      <c r="I7" s="73" t="s">
        <v>133</v>
      </c>
      <c r="J7" s="73" t="s">
        <v>134</v>
      </c>
      <c r="K7" s="73" t="s">
        <v>451</v>
      </c>
      <c r="L7" s="73" t="s">
        <v>452</v>
      </c>
      <c r="M7" s="73" t="s">
        <v>49</v>
      </c>
      <c r="N7" s="74" t="s">
        <v>453</v>
      </c>
      <c r="O7" s="74" t="s">
        <v>454</v>
      </c>
      <c r="P7" s="73" t="s">
        <v>447</v>
      </c>
    </row>
    <row r="8" ht="87.6" customHeight="1" spans="1:16">
      <c r="A8" s="72" t="s">
        <v>455</v>
      </c>
      <c r="B8" s="73" t="s">
        <v>22</v>
      </c>
      <c r="C8" s="73" t="s">
        <v>346</v>
      </c>
      <c r="D8" s="73" t="s">
        <v>25</v>
      </c>
      <c r="E8" s="73" t="s">
        <v>456</v>
      </c>
      <c r="F8" s="73">
        <v>44</v>
      </c>
      <c r="G8" s="73" t="s">
        <v>457</v>
      </c>
      <c r="H8" s="73" t="s">
        <v>26</v>
      </c>
      <c r="I8" s="73" t="s">
        <v>27</v>
      </c>
      <c r="J8" s="73" t="s">
        <v>28</v>
      </c>
      <c r="K8" s="73" t="s">
        <v>458</v>
      </c>
      <c r="L8" s="73" t="s">
        <v>452</v>
      </c>
      <c r="M8" s="73" t="s">
        <v>49</v>
      </c>
      <c r="N8" s="74" t="s">
        <v>459</v>
      </c>
      <c r="O8" s="74" t="s">
        <v>460</v>
      </c>
      <c r="P8" s="73" t="s">
        <v>461</v>
      </c>
    </row>
    <row r="9" ht="93" customHeight="1" spans="1:16">
      <c r="A9" s="72" t="s">
        <v>462</v>
      </c>
      <c r="B9" s="73" t="s">
        <v>148</v>
      </c>
      <c r="C9" s="73" t="s">
        <v>355</v>
      </c>
      <c r="D9" s="73" t="s">
        <v>25</v>
      </c>
      <c r="E9" s="73" t="s">
        <v>463</v>
      </c>
      <c r="F9" s="73">
        <v>27</v>
      </c>
      <c r="G9" s="73" t="s">
        <v>464</v>
      </c>
      <c r="H9" s="73" t="s">
        <v>108</v>
      </c>
      <c r="I9" s="73" t="s">
        <v>90</v>
      </c>
      <c r="J9" s="73" t="s">
        <v>90</v>
      </c>
      <c r="K9" s="73" t="s">
        <v>465</v>
      </c>
      <c r="L9" s="73" t="s">
        <v>452</v>
      </c>
      <c r="M9" s="73" t="s">
        <v>49</v>
      </c>
      <c r="N9" s="74" t="s">
        <v>466</v>
      </c>
      <c r="O9" s="74" t="s">
        <v>467</v>
      </c>
      <c r="P9" s="73" t="s">
        <v>468</v>
      </c>
    </row>
    <row r="10" ht="93.6" customHeight="1" spans="1:16">
      <c r="A10" s="72" t="s">
        <v>469</v>
      </c>
      <c r="B10" s="73" t="s">
        <v>22</v>
      </c>
      <c r="C10" s="73" t="s">
        <v>333</v>
      </c>
      <c r="D10" s="73" t="s">
        <v>25</v>
      </c>
      <c r="E10" s="73" t="s">
        <v>440</v>
      </c>
      <c r="F10" s="73">
        <v>77</v>
      </c>
      <c r="G10" s="73" t="s">
        <v>470</v>
      </c>
      <c r="H10" s="73" t="s">
        <v>60</v>
      </c>
      <c r="I10" s="73" t="s">
        <v>334</v>
      </c>
      <c r="J10" s="73" t="s">
        <v>61</v>
      </c>
      <c r="K10" s="73" t="s">
        <v>471</v>
      </c>
      <c r="L10" s="73" t="s">
        <v>472</v>
      </c>
      <c r="M10" s="73" t="s">
        <v>473</v>
      </c>
      <c r="N10" s="74" t="s">
        <v>474</v>
      </c>
      <c r="O10" s="74" t="s">
        <v>475</v>
      </c>
      <c r="P10" s="73" t="s">
        <v>476</v>
      </c>
    </row>
    <row r="11" ht="94.2" customHeight="1" spans="1:16">
      <c r="A11" s="72" t="s">
        <v>477</v>
      </c>
      <c r="B11" s="73" t="s">
        <v>22</v>
      </c>
      <c r="C11" s="73" t="s">
        <v>347</v>
      </c>
      <c r="D11" s="73" t="s">
        <v>25</v>
      </c>
      <c r="E11" s="73" t="s">
        <v>478</v>
      </c>
      <c r="F11" s="73">
        <v>54</v>
      </c>
      <c r="G11" s="73" t="s">
        <v>479</v>
      </c>
      <c r="H11" s="73" t="s">
        <v>112</v>
      </c>
      <c r="I11" s="73" t="s">
        <v>88</v>
      </c>
      <c r="J11" s="73" t="s">
        <v>90</v>
      </c>
      <c r="K11" s="73" t="s">
        <v>480</v>
      </c>
      <c r="L11" s="73" t="s">
        <v>481</v>
      </c>
      <c r="M11" s="73" t="s">
        <v>482</v>
      </c>
      <c r="N11" s="74" t="s">
        <v>483</v>
      </c>
      <c r="O11" s="74" t="s">
        <v>484</v>
      </c>
      <c r="P11" s="73" t="s">
        <v>485</v>
      </c>
    </row>
    <row r="12" ht="88.8" customHeight="1" spans="1:16">
      <c r="A12" s="72" t="s">
        <v>486</v>
      </c>
      <c r="B12" s="73" t="s">
        <v>22</v>
      </c>
      <c r="C12" s="73" t="s">
        <v>344</v>
      </c>
      <c r="D12" s="73" t="s">
        <v>25</v>
      </c>
      <c r="E12" s="73" t="s">
        <v>478</v>
      </c>
      <c r="F12" s="73">
        <v>32</v>
      </c>
      <c r="G12" s="73" t="s">
        <v>487</v>
      </c>
      <c r="H12" s="73" t="s">
        <v>125</v>
      </c>
      <c r="I12" s="73" t="s">
        <v>53</v>
      </c>
      <c r="J12" s="73" t="s">
        <v>126</v>
      </c>
      <c r="K12" s="73" t="s">
        <v>488</v>
      </c>
      <c r="L12" s="73" t="s">
        <v>489</v>
      </c>
      <c r="M12" s="73" t="s">
        <v>490</v>
      </c>
      <c r="N12" s="74" t="s">
        <v>491</v>
      </c>
      <c r="O12" s="74" t="s">
        <v>492</v>
      </c>
      <c r="P12" s="73" t="s">
        <v>485</v>
      </c>
    </row>
    <row r="13" ht="72" customHeight="1" spans="1:16">
      <c r="A13" s="72" t="s">
        <v>493</v>
      </c>
      <c r="B13" s="73" t="s">
        <v>22</v>
      </c>
      <c r="C13" s="73" t="s">
        <v>331</v>
      </c>
      <c r="D13" s="73" t="s">
        <v>25</v>
      </c>
      <c r="E13" s="73" t="s">
        <v>494</v>
      </c>
      <c r="F13" s="73">
        <v>60</v>
      </c>
      <c r="G13" s="73" t="s">
        <v>495</v>
      </c>
      <c r="H13" s="73" t="s">
        <v>43</v>
      </c>
      <c r="I13" s="73" t="s">
        <v>44</v>
      </c>
      <c r="J13" s="73" t="s">
        <v>45</v>
      </c>
      <c r="K13" s="73" t="s">
        <v>496</v>
      </c>
      <c r="L13" s="73" t="s">
        <v>452</v>
      </c>
      <c r="M13" s="73" t="s">
        <v>49</v>
      </c>
      <c r="N13" s="74" t="s">
        <v>497</v>
      </c>
      <c r="O13" s="74" t="s">
        <v>498</v>
      </c>
      <c r="P13" s="73" t="s">
        <v>485</v>
      </c>
    </row>
    <row r="14" ht="87" customHeight="1" spans="1:16">
      <c r="A14" s="72" t="s">
        <v>499</v>
      </c>
      <c r="B14" s="73" t="s">
        <v>139</v>
      </c>
      <c r="C14" s="73" t="s">
        <v>352</v>
      </c>
      <c r="D14" s="73" t="s">
        <v>25</v>
      </c>
      <c r="E14" s="73" t="s">
        <v>500</v>
      </c>
      <c r="F14" s="73">
        <v>96</v>
      </c>
      <c r="G14" s="73" t="s">
        <v>501</v>
      </c>
      <c r="H14" s="73" t="s">
        <v>141</v>
      </c>
      <c r="I14" s="73" t="s">
        <v>142</v>
      </c>
      <c r="J14" s="73" t="s">
        <v>143</v>
      </c>
      <c r="K14" s="73" t="s">
        <v>502</v>
      </c>
      <c r="L14" s="73" t="s">
        <v>452</v>
      </c>
      <c r="M14" s="73" t="s">
        <v>49</v>
      </c>
      <c r="N14" s="74" t="s">
        <v>503</v>
      </c>
      <c r="O14" s="74" t="s">
        <v>504</v>
      </c>
      <c r="P14" s="73" t="s">
        <v>505</v>
      </c>
    </row>
    <row r="17" ht="15.75" customHeight="1" spans="1:16">
      <c r="A17" s="70" t="s">
        <v>506</v>
      </c>
    </row>
    <row r="18" ht="35" customHeight="1" spans="1:16">
      <c r="A18" s="71" t="s">
        <v>320</v>
      </c>
      <c r="B18" s="71" t="s">
        <v>393</v>
      </c>
      <c r="C18" s="71" t="s">
        <v>2</v>
      </c>
      <c r="D18" s="71" t="s">
        <v>6</v>
      </c>
      <c r="E18" s="71" t="s">
        <v>434</v>
      </c>
      <c r="F18" s="71" t="s">
        <v>7</v>
      </c>
      <c r="G18" s="71" t="s">
        <v>8</v>
      </c>
      <c r="H18" s="71" t="s">
        <v>9</v>
      </c>
      <c r="I18" s="71" t="s">
        <v>10</v>
      </c>
      <c r="J18" s="71" t="s">
        <v>11</v>
      </c>
      <c r="K18" s="71" t="s">
        <v>12</v>
      </c>
      <c r="L18" s="71" t="s">
        <v>435</v>
      </c>
      <c r="M18" s="71" t="s">
        <v>436</v>
      </c>
      <c r="N18" s="71" t="s">
        <v>324</v>
      </c>
      <c r="O18" s="71" t="s">
        <v>437</v>
      </c>
      <c r="P18" s="71" t="s">
        <v>438</v>
      </c>
    </row>
    <row r="19" ht="84.6" customHeight="1" spans="1:16">
      <c r="A19" s="75" t="s">
        <v>507</v>
      </c>
      <c r="B19" s="73" t="s">
        <v>22</v>
      </c>
      <c r="C19" s="73" t="s">
        <v>326</v>
      </c>
      <c r="D19" s="73" t="s">
        <v>25</v>
      </c>
      <c r="E19" s="73" t="s">
        <v>508</v>
      </c>
      <c r="F19" s="73">
        <v>54</v>
      </c>
      <c r="G19" s="73" t="s">
        <v>509</v>
      </c>
      <c r="H19" s="73" t="s">
        <v>88</v>
      </c>
      <c r="I19" s="73" t="s">
        <v>89</v>
      </c>
      <c r="J19" s="73" t="s">
        <v>90</v>
      </c>
      <c r="K19" s="73" t="s">
        <v>510</v>
      </c>
      <c r="L19" s="73" t="s">
        <v>452</v>
      </c>
      <c r="M19" s="73" t="s">
        <v>49</v>
      </c>
      <c r="N19" s="74" t="s">
        <v>511</v>
      </c>
      <c r="O19" s="74" t="s">
        <v>512</v>
      </c>
      <c r="P19" s="73" t="s">
        <v>513</v>
      </c>
    </row>
    <row r="20" ht="73.8" customHeight="1" spans="1:16">
      <c r="A20" s="75" t="s">
        <v>514</v>
      </c>
      <c r="B20" s="73" t="s">
        <v>515</v>
      </c>
      <c r="C20" s="73" t="s">
        <v>217</v>
      </c>
      <c r="D20" s="73" t="s">
        <v>25</v>
      </c>
      <c r="E20" s="73" t="s">
        <v>516</v>
      </c>
      <c r="F20" s="73">
        <v>9</v>
      </c>
      <c r="G20" s="73" t="s">
        <v>517</v>
      </c>
      <c r="H20" s="73" t="s">
        <v>218</v>
      </c>
      <c r="I20" s="73" t="s">
        <v>108</v>
      </c>
      <c r="J20" s="73" t="s">
        <v>108</v>
      </c>
      <c r="K20" s="73" t="s">
        <v>518</v>
      </c>
      <c r="L20" s="73" t="s">
        <v>519</v>
      </c>
      <c r="M20" s="73" t="s">
        <v>519</v>
      </c>
      <c r="N20" s="74" t="s">
        <v>520</v>
      </c>
      <c r="O20" s="74" t="s">
        <v>521</v>
      </c>
      <c r="P20" s="73" t="s">
        <v>522</v>
      </c>
    </row>
    <row r="21" ht="88.8" customHeight="1" spans="1:16">
      <c r="A21" s="75" t="s">
        <v>523</v>
      </c>
      <c r="B21" s="73" t="s">
        <v>524</v>
      </c>
      <c r="C21" s="73" t="s">
        <v>369</v>
      </c>
      <c r="D21" s="73" t="s">
        <v>66</v>
      </c>
      <c r="E21" s="73" t="s">
        <v>525</v>
      </c>
      <c r="F21" s="73">
        <v>12</v>
      </c>
      <c r="G21" s="73" t="s">
        <v>526</v>
      </c>
      <c r="H21" s="73" t="s">
        <v>96</v>
      </c>
      <c r="I21" s="73" t="s">
        <v>53</v>
      </c>
      <c r="J21" s="73" t="s">
        <v>44</v>
      </c>
      <c r="K21" s="73" t="s">
        <v>527</v>
      </c>
      <c r="L21" s="73" t="s">
        <v>528</v>
      </c>
      <c r="M21" s="73" t="s">
        <v>529</v>
      </c>
      <c r="N21" s="74" t="s">
        <v>530</v>
      </c>
      <c r="O21" s="74" t="s">
        <v>531</v>
      </c>
      <c r="P21" s="73" t="s">
        <v>468</v>
      </c>
    </row>
    <row r="22" ht="83.4" customHeight="1" spans="1:16">
      <c r="A22" s="75" t="s">
        <v>532</v>
      </c>
      <c r="B22" s="73" t="s">
        <v>139</v>
      </c>
      <c r="C22" s="73" t="s">
        <v>153</v>
      </c>
      <c r="D22" s="73" t="s">
        <v>25</v>
      </c>
      <c r="E22" s="73" t="s">
        <v>533</v>
      </c>
      <c r="F22" s="73">
        <v>6</v>
      </c>
      <c r="G22" s="73" t="s">
        <v>534</v>
      </c>
      <c r="H22" s="73" t="s">
        <v>44</v>
      </c>
      <c r="I22" s="73" t="s">
        <v>37</v>
      </c>
      <c r="J22" s="73" t="s">
        <v>108</v>
      </c>
      <c r="K22" s="73" t="s">
        <v>535</v>
      </c>
      <c r="L22" s="73" t="s">
        <v>452</v>
      </c>
      <c r="M22" s="73" t="s">
        <v>49</v>
      </c>
      <c r="N22" s="74" t="s">
        <v>536</v>
      </c>
      <c r="O22" s="74" t="s">
        <v>537</v>
      </c>
      <c r="P22" s="73" t="s">
        <v>538</v>
      </c>
    </row>
    <row r="25" ht="15.75" customHeight="1" spans="1:16">
      <c r="A25" s="70" t="s">
        <v>539</v>
      </c>
    </row>
    <row r="26" ht="35" customHeight="1" spans="1:16">
      <c r="A26" s="71" t="s">
        <v>320</v>
      </c>
      <c r="B26" s="71" t="s">
        <v>393</v>
      </c>
      <c r="C26" s="71" t="s">
        <v>2</v>
      </c>
      <c r="D26" s="71" t="s">
        <v>6</v>
      </c>
      <c r="E26" s="71" t="s">
        <v>434</v>
      </c>
      <c r="F26" s="71" t="s">
        <v>7</v>
      </c>
      <c r="G26" s="71" t="s">
        <v>8</v>
      </c>
      <c r="H26" s="71" t="s">
        <v>9</v>
      </c>
      <c r="I26" s="71" t="s">
        <v>10</v>
      </c>
      <c r="J26" s="71" t="s">
        <v>11</v>
      </c>
      <c r="K26" s="71" t="s">
        <v>12</v>
      </c>
      <c r="L26" s="71" t="s">
        <v>435</v>
      </c>
      <c r="M26" s="71" t="s">
        <v>436</v>
      </c>
      <c r="N26" s="71" t="s">
        <v>324</v>
      </c>
      <c r="O26" s="71" t="s">
        <v>437</v>
      </c>
      <c r="P26" s="71" t="s">
        <v>438</v>
      </c>
    </row>
    <row r="27" ht="87" customHeight="1" spans="1:16">
      <c r="A27" s="76" t="s">
        <v>540</v>
      </c>
      <c r="B27" s="73" t="s">
        <v>541</v>
      </c>
      <c r="C27" s="73" t="s">
        <v>176</v>
      </c>
      <c r="D27" s="73" t="s">
        <v>25</v>
      </c>
      <c r="E27" s="73" t="s">
        <v>542</v>
      </c>
      <c r="F27" s="73">
        <v>17</v>
      </c>
      <c r="G27" s="73" t="s">
        <v>543</v>
      </c>
      <c r="H27" s="73" t="s">
        <v>177</v>
      </c>
      <c r="I27" s="73" t="s">
        <v>178</v>
      </c>
      <c r="J27" s="73" t="s">
        <v>179</v>
      </c>
      <c r="K27" s="73" t="s">
        <v>544</v>
      </c>
      <c r="L27" s="73" t="s">
        <v>452</v>
      </c>
      <c r="M27" s="73" t="s">
        <v>49</v>
      </c>
      <c r="N27" s="74" t="s">
        <v>545</v>
      </c>
      <c r="O27" s="74" t="s">
        <v>546</v>
      </c>
      <c r="P27" s="73" t="s">
        <v>547</v>
      </c>
    </row>
    <row r="28" ht="72" customHeight="1" spans="1:16">
      <c r="A28" s="76" t="s">
        <v>548</v>
      </c>
      <c r="B28" s="73" t="s">
        <v>541</v>
      </c>
      <c r="C28" s="73" t="s">
        <v>183</v>
      </c>
      <c r="D28" s="73" t="s">
        <v>25</v>
      </c>
      <c r="E28" s="73" t="s">
        <v>549</v>
      </c>
      <c r="F28" s="73">
        <v>41</v>
      </c>
      <c r="G28" s="73" t="s">
        <v>550</v>
      </c>
      <c r="H28" s="73" t="s">
        <v>184</v>
      </c>
      <c r="I28" s="73" t="s">
        <v>185</v>
      </c>
      <c r="J28" s="73" t="s">
        <v>186</v>
      </c>
      <c r="K28" s="73" t="s">
        <v>551</v>
      </c>
      <c r="L28" s="73" t="s">
        <v>452</v>
      </c>
      <c r="M28" s="73" t="s">
        <v>49</v>
      </c>
      <c r="N28" s="74" t="s">
        <v>552</v>
      </c>
      <c r="O28" s="74" t="s">
        <v>553</v>
      </c>
      <c r="P28" s="73" t="s">
        <v>554</v>
      </c>
    </row>
    <row r="29" ht="78" customHeight="1" spans="1:16">
      <c r="A29" s="76" t="s">
        <v>555</v>
      </c>
      <c r="B29" s="73" t="s">
        <v>541</v>
      </c>
      <c r="C29" s="73" t="s">
        <v>164</v>
      </c>
      <c r="D29" s="73" t="s">
        <v>25</v>
      </c>
      <c r="E29" s="73" t="s">
        <v>556</v>
      </c>
      <c r="F29" s="73">
        <v>11</v>
      </c>
      <c r="G29" s="73" t="s">
        <v>557</v>
      </c>
      <c r="H29" s="73" t="s">
        <v>165</v>
      </c>
      <c r="I29" s="73" t="s">
        <v>166</v>
      </c>
      <c r="J29" s="73" t="s">
        <v>166</v>
      </c>
      <c r="K29" s="73" t="s">
        <v>558</v>
      </c>
      <c r="L29" s="73" t="s">
        <v>452</v>
      </c>
      <c r="M29" s="73" t="s">
        <v>49</v>
      </c>
      <c r="N29" s="74" t="s">
        <v>559</v>
      </c>
      <c r="O29" s="74" t="s">
        <v>560</v>
      </c>
      <c r="P29" s="73" t="s">
        <v>561</v>
      </c>
    </row>
    <row r="30" ht="86.4" customHeight="1" spans="1:16">
      <c r="A30" s="76" t="s">
        <v>562</v>
      </c>
      <c r="B30" s="73" t="s">
        <v>563</v>
      </c>
      <c r="C30" s="73" t="s">
        <v>328</v>
      </c>
      <c r="D30" s="73" t="s">
        <v>25</v>
      </c>
      <c r="E30" s="73" t="s">
        <v>564</v>
      </c>
      <c r="F30" s="73">
        <v>4</v>
      </c>
      <c r="G30" s="73" t="s">
        <v>565</v>
      </c>
      <c r="H30" s="73" t="s">
        <v>96</v>
      </c>
      <c r="I30" s="73" t="s">
        <v>53</v>
      </c>
      <c r="J30" s="73" t="s">
        <v>37</v>
      </c>
      <c r="K30" s="73" t="s">
        <v>566</v>
      </c>
      <c r="L30" s="73" t="s">
        <v>452</v>
      </c>
      <c r="M30" s="73" t="s">
        <v>49</v>
      </c>
      <c r="N30" s="74" t="s">
        <v>567</v>
      </c>
      <c r="O30" s="74" t="s">
        <v>568</v>
      </c>
      <c r="P30" s="73" t="s">
        <v>569</v>
      </c>
    </row>
    <row r="31" ht="80.4" customHeight="1" spans="1:16">
      <c r="A31" s="76" t="s">
        <v>570</v>
      </c>
      <c r="B31" s="73" t="s">
        <v>22</v>
      </c>
      <c r="C31" s="73" t="s">
        <v>254</v>
      </c>
      <c r="D31" s="73" t="s">
        <v>25</v>
      </c>
      <c r="E31" s="73" t="s">
        <v>571</v>
      </c>
      <c r="F31" s="73">
        <v>10</v>
      </c>
      <c r="G31" s="73" t="s">
        <v>572</v>
      </c>
      <c r="H31" s="73" t="s">
        <v>45</v>
      </c>
      <c r="I31" s="73" t="s">
        <v>115</v>
      </c>
      <c r="J31" s="73" t="s">
        <v>37</v>
      </c>
      <c r="K31" s="73" t="s">
        <v>573</v>
      </c>
      <c r="L31" s="73" t="s">
        <v>519</v>
      </c>
      <c r="M31" s="73" t="s">
        <v>49</v>
      </c>
      <c r="N31" s="74" t="s">
        <v>574</v>
      </c>
      <c r="O31" s="74" t="s">
        <v>575</v>
      </c>
      <c r="P31" s="73" t="s">
        <v>576</v>
      </c>
    </row>
    <row r="35" ht="15.75" customHeight="1" spans="1:9">
      <c r="A35" s="70" t="s">
        <v>577</v>
      </c>
    </row>
    <row r="36" ht="27" customHeight="1" spans="1:9">
      <c r="A36" s="77" t="s">
        <v>2</v>
      </c>
      <c r="B36" s="77" t="s">
        <v>6</v>
      </c>
      <c r="C36" s="77" t="s">
        <v>5</v>
      </c>
      <c r="D36" s="77" t="s">
        <v>578</v>
      </c>
      <c r="E36" s="77" t="s">
        <v>9</v>
      </c>
      <c r="F36" s="77" t="s">
        <v>11</v>
      </c>
      <c r="G36" s="77" t="s">
        <v>7</v>
      </c>
      <c r="H36" s="77" t="s">
        <v>323</v>
      </c>
      <c r="I36" s="77" t="s">
        <v>579</v>
      </c>
    </row>
    <row r="37" ht="30" customHeight="1" spans="1:9">
      <c r="A37" s="78" t="s">
        <v>580</v>
      </c>
      <c r="B37" s="78" t="s">
        <v>66</v>
      </c>
      <c r="C37" s="78" t="s">
        <v>581</v>
      </c>
      <c r="D37" s="78" t="s">
        <v>582</v>
      </c>
      <c r="E37" s="78" t="s">
        <v>282</v>
      </c>
      <c r="F37" s="78" t="s">
        <v>236</v>
      </c>
      <c r="G37" s="78">
        <v>128</v>
      </c>
      <c r="H37" s="78" t="s">
        <v>583</v>
      </c>
      <c r="I37" s="79" t="s">
        <v>584</v>
      </c>
    </row>
    <row r="38" ht="30" customHeight="1" spans="1:9">
      <c r="A38" s="78" t="s">
        <v>585</v>
      </c>
      <c r="B38" s="78" t="s">
        <v>25</v>
      </c>
      <c r="C38" s="78" t="s">
        <v>581</v>
      </c>
      <c r="D38" s="78" t="s">
        <v>586</v>
      </c>
      <c r="E38" s="78" t="s">
        <v>286</v>
      </c>
      <c r="F38" s="78" t="s">
        <v>287</v>
      </c>
      <c r="G38" s="78">
        <v>95</v>
      </c>
      <c r="H38" s="78" t="s">
        <v>587</v>
      </c>
      <c r="I38" s="79" t="s">
        <v>588</v>
      </c>
    </row>
    <row r="39" ht="30" customHeight="1" spans="1:9">
      <c r="A39" s="78" t="s">
        <v>203</v>
      </c>
      <c r="B39" s="78" t="s">
        <v>25</v>
      </c>
      <c r="C39" s="78" t="s">
        <v>24</v>
      </c>
      <c r="D39" s="78" t="s">
        <v>589</v>
      </c>
      <c r="E39" s="78" t="s">
        <v>206</v>
      </c>
      <c r="F39" s="78" t="s">
        <v>208</v>
      </c>
      <c r="G39" s="78">
        <v>95</v>
      </c>
      <c r="H39" s="78" t="s">
        <v>590</v>
      </c>
      <c r="I39" s="79" t="s">
        <v>591</v>
      </c>
    </row>
    <row r="40" ht="30" customHeight="1" spans="1:9">
      <c r="A40" s="78" t="s">
        <v>272</v>
      </c>
      <c r="B40" s="78" t="s">
        <v>25</v>
      </c>
      <c r="C40" s="78" t="s">
        <v>24</v>
      </c>
      <c r="D40" s="78" t="s">
        <v>592</v>
      </c>
      <c r="E40" s="78" t="s">
        <v>165</v>
      </c>
      <c r="F40" s="78" t="s">
        <v>28</v>
      </c>
      <c r="G40" s="78">
        <v>11</v>
      </c>
      <c r="H40" s="78" t="s">
        <v>274</v>
      </c>
      <c r="I40" s="79" t="s">
        <v>593</v>
      </c>
    </row>
    <row r="41" ht="30" customHeight="1" spans="1:9">
      <c r="A41" s="78" t="s">
        <v>170</v>
      </c>
      <c r="B41" s="78" t="s">
        <v>25</v>
      </c>
      <c r="C41" s="78" t="s">
        <v>24</v>
      </c>
      <c r="D41" s="78" t="s">
        <v>594</v>
      </c>
      <c r="E41" s="78" t="s">
        <v>171</v>
      </c>
      <c r="F41" s="78" t="s">
        <v>173</v>
      </c>
      <c r="G41" s="78">
        <v>65</v>
      </c>
      <c r="H41" s="78" t="s">
        <v>174</v>
      </c>
      <c r="I41" s="79" t="s">
        <v>595</v>
      </c>
    </row>
    <row r="42" ht="30" customHeight="1" spans="1:9">
      <c r="A42" s="78" t="s">
        <v>596</v>
      </c>
      <c r="B42" s="78" t="s">
        <v>25</v>
      </c>
      <c r="C42" s="78" t="s">
        <v>24</v>
      </c>
      <c r="D42" s="78" t="s">
        <v>597</v>
      </c>
      <c r="E42" s="78" t="s">
        <v>598</v>
      </c>
      <c r="F42" s="78" t="s">
        <v>599</v>
      </c>
      <c r="G42" s="78" t="s">
        <v>600</v>
      </c>
      <c r="H42" s="78" t="s">
        <v>601</v>
      </c>
      <c r="I42" s="79" t="s">
        <v>602</v>
      </c>
    </row>
    <row r="43" ht="30" customHeight="1" spans="1:9">
      <c r="A43" s="78" t="s">
        <v>603</v>
      </c>
      <c r="B43" s="78" t="s">
        <v>25</v>
      </c>
      <c r="C43" s="78" t="s">
        <v>24</v>
      </c>
      <c r="D43" s="78" t="s">
        <v>604</v>
      </c>
      <c r="E43" s="78" t="s">
        <v>605</v>
      </c>
      <c r="F43" s="78" t="s">
        <v>606</v>
      </c>
      <c r="G43" s="78" t="s">
        <v>600</v>
      </c>
      <c r="H43" s="78" t="s">
        <v>607</v>
      </c>
      <c r="I43" s="79" t="s">
        <v>608</v>
      </c>
    </row>
    <row r="46" ht="15.75" customHeight="1" spans="1:9">
      <c r="A46" s="70" t="s">
        <v>609</v>
      </c>
    </row>
    <row r="47" spans="1:9">
      <c r="A47" s="71" t="s">
        <v>610</v>
      </c>
      <c r="B47" s="71" t="s">
        <v>611</v>
      </c>
      <c r="C47" s="71" t="s">
        <v>612</v>
      </c>
      <c r="D47" s="71" t="s">
        <v>613</v>
      </c>
      <c r="E47" s="71" t="s">
        <v>614</v>
      </c>
    </row>
    <row r="48" ht="25" customHeight="1" spans="1:9">
      <c r="A48" s="73" t="s">
        <v>615</v>
      </c>
      <c r="B48" s="73" t="s">
        <v>616</v>
      </c>
      <c r="C48" s="73" t="s">
        <v>617</v>
      </c>
      <c r="D48" s="73" t="s">
        <v>618</v>
      </c>
      <c r="E48" s="73" t="s">
        <v>619</v>
      </c>
    </row>
    <row r="49" ht="25" customHeight="1" spans="1:5">
      <c r="A49" s="73" t="s">
        <v>620</v>
      </c>
      <c r="B49" s="73" t="s">
        <v>621</v>
      </c>
      <c r="C49" s="73" t="s">
        <v>622</v>
      </c>
      <c r="D49" s="73" t="s">
        <v>623</v>
      </c>
      <c r="E49" s="73" t="s">
        <v>624</v>
      </c>
    </row>
    <row r="50" ht="25" customHeight="1" spans="1:5">
      <c r="A50" s="73" t="s">
        <v>625</v>
      </c>
      <c r="B50" s="73" t="s">
        <v>626</v>
      </c>
      <c r="C50" s="73" t="s">
        <v>627</v>
      </c>
      <c r="D50" s="73" t="s">
        <v>628</v>
      </c>
      <c r="E50" s="73" t="s">
        <v>629</v>
      </c>
    </row>
    <row r="51" ht="25" customHeight="1" spans="1:5">
      <c r="A51" s="73" t="s">
        <v>630</v>
      </c>
      <c r="B51" s="73" t="s">
        <v>631</v>
      </c>
      <c r="C51" s="73" t="s">
        <v>632</v>
      </c>
      <c r="D51" s="73" t="s">
        <v>633</v>
      </c>
      <c r="E51" s="73" t="s">
        <v>634</v>
      </c>
    </row>
    <row r="52" ht="25" customHeight="1" spans="1:5">
      <c r="A52" s="80" t="s">
        <v>635</v>
      </c>
      <c r="B52" s="80" t="s">
        <v>636</v>
      </c>
      <c r="C52" s="80" t="s">
        <v>637</v>
      </c>
      <c r="D52" s="80" t="s">
        <v>638</v>
      </c>
      <c r="E52" s="80" t="s">
        <v>639</v>
      </c>
    </row>
    <row r="55" ht="15.75" customHeight="1" spans="1:5">
      <c r="A55" s="70" t="s">
        <v>640</v>
      </c>
    </row>
    <row r="56" ht="22" customHeight="1" spans="1:5">
      <c r="A56" s="69" t="s">
        <v>641</v>
      </c>
    </row>
    <row r="57" ht="22" customHeight="1" spans="1:5">
      <c r="A57" s="69" t="s">
        <v>642</v>
      </c>
    </row>
    <row r="58" ht="22" customHeight="1" spans="1:5">
      <c r="A58" s="69" t="s">
        <v>643</v>
      </c>
    </row>
    <row r="59" ht="22" customHeight="1" spans="1:5">
      <c r="A59" s="69" t="s">
        <v>644</v>
      </c>
    </row>
    <row r="60" ht="22" customHeight="1" spans="1:5">
      <c r="A60" s="69" t="s">
        <v>645</v>
      </c>
    </row>
    <row r="61" ht="22" customHeight="1" spans="1:5">
      <c r="A61" s="69" t="s">
        <v>646</v>
      </c>
    </row>
    <row r="62" ht="22" customHeight="1" spans="1:5">
      <c r="A62" s="69" t="s">
        <v>647</v>
      </c>
    </row>
    <row r="63" ht="22" customHeight="1" spans="1:5">
      <c r="A63" s="69" t="s">
        <v>648</v>
      </c>
    </row>
    <row r="65" ht="15.75" customHeight="1" spans="1:1">
      <c r="A65" s="70" t="s">
        <v>649</v>
      </c>
    </row>
    <row r="66" spans="1:1">
      <c r="A66" s="69" t="s">
        <v>650</v>
      </c>
    </row>
    <row r="67" spans="1:1">
      <c r="A67" s="81" t="s">
        <v>651</v>
      </c>
    </row>
  </sheetData>
  <mergeCells count="19">
    <mergeCell ref="A1:P1"/>
    <mergeCell ref="A2:P2"/>
    <mergeCell ref="A4:P4"/>
    <mergeCell ref="A17:P17"/>
    <mergeCell ref="A25:P25"/>
    <mergeCell ref="A35:P35"/>
    <mergeCell ref="A46:P46"/>
    <mergeCell ref="A55:P55"/>
    <mergeCell ref="A56:P56"/>
    <mergeCell ref="A57:P57"/>
    <mergeCell ref="A58:P58"/>
    <mergeCell ref="A59:P59"/>
    <mergeCell ref="A60:P60"/>
    <mergeCell ref="A61:P61"/>
    <mergeCell ref="A62:P62"/>
    <mergeCell ref="A63:P63"/>
    <mergeCell ref="A65:P65"/>
    <mergeCell ref="A66:P66"/>
    <mergeCell ref="A67:P6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1"/>
  <sheetViews>
    <sheetView workbookViewId="0">
      <pane ySplit="1" topLeftCell="A2" activePane="bottomLeft" state="frozen"/>
      <selection/>
      <selection pane="bottomLeft" activeCell="W9" sqref="W9"/>
    </sheetView>
  </sheetViews>
  <sheetFormatPr defaultColWidth="9" defaultRowHeight="13.5"/>
  <cols>
    <col min="1" max="1" width="7" customWidth="1"/>
    <col min="2" max="2" width="30" customWidth="1"/>
    <col min="3" max="3" width="6" customWidth="1"/>
    <col min="4" max="4" width="10" customWidth="1"/>
    <col min="5" max="5" width="9" customWidth="1"/>
    <col min="6" max="6" width="12" customWidth="1"/>
    <col min="7" max="7" width="9" customWidth="1"/>
    <col min="8" max="8" width="12" customWidth="1"/>
    <col min="9" max="9" width="9" customWidth="1"/>
    <col min="10" max="10" width="8" customWidth="1"/>
    <col min="11" max="11" width="9" customWidth="1"/>
    <col min="12" max="12" width="8" customWidth="1"/>
    <col min="13" max="13" width="40" customWidth="1"/>
    <col min="21" max="21" width="14.125" customWidth="1"/>
  </cols>
  <sheetData>
    <row r="1" ht="24" customHeight="1" spans="1:21">
      <c r="A1" s="21" t="s">
        <v>5</v>
      </c>
      <c r="B1" s="21" t="s">
        <v>2</v>
      </c>
      <c r="C1" s="21" t="s">
        <v>652</v>
      </c>
      <c r="D1" s="21" t="s">
        <v>6</v>
      </c>
      <c r="E1" s="21" t="s">
        <v>14</v>
      </c>
      <c r="F1" s="21" t="s">
        <v>13</v>
      </c>
      <c r="G1" s="21" t="s">
        <v>578</v>
      </c>
      <c r="H1" s="21" t="s">
        <v>15</v>
      </c>
      <c r="I1" s="21" t="s">
        <v>16</v>
      </c>
      <c r="J1" s="21" t="s">
        <v>17</v>
      </c>
      <c r="K1" s="21" t="s">
        <v>653</v>
      </c>
      <c r="L1" s="21" t="s">
        <v>18</v>
      </c>
      <c r="M1" s="21" t="s">
        <v>20</v>
      </c>
      <c r="N1" s="21" t="s">
        <v>7</v>
      </c>
      <c r="O1" s="21" t="s">
        <v>654</v>
      </c>
      <c r="P1" s="21" t="s">
        <v>655</v>
      </c>
      <c r="Q1" s="21" t="s">
        <v>656</v>
      </c>
      <c r="R1" s="21" t="s">
        <v>9</v>
      </c>
      <c r="S1" s="21" t="s">
        <v>10</v>
      </c>
      <c r="T1" s="21" t="s">
        <v>11</v>
      </c>
      <c r="U1" s="21" t="s">
        <v>12</v>
      </c>
    </row>
    <row r="2" ht="20" customHeight="1" spans="1:21">
      <c r="A2" s="22" t="s">
        <v>657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  <c r="N2" s="25"/>
      <c r="O2" s="25"/>
      <c r="P2" s="25"/>
      <c r="Q2" s="25"/>
      <c r="R2" s="25"/>
      <c r="S2" s="25"/>
      <c r="T2" s="25"/>
      <c r="U2" s="25"/>
    </row>
    <row r="3" ht="20" customHeight="1" spans="1:21">
      <c r="A3" s="26" t="s">
        <v>72</v>
      </c>
      <c r="B3" s="26" t="s">
        <v>280</v>
      </c>
      <c r="C3" s="26" t="s">
        <v>658</v>
      </c>
      <c r="D3" s="26" t="s">
        <v>66</v>
      </c>
      <c r="E3" s="27">
        <v>79</v>
      </c>
      <c r="F3" s="28">
        <v>416.24</v>
      </c>
      <c r="G3" s="28">
        <v>5.27</v>
      </c>
      <c r="H3" s="27">
        <v>16068</v>
      </c>
      <c r="I3" s="27">
        <v>329</v>
      </c>
      <c r="J3" s="29">
        <v>0.0205</v>
      </c>
      <c r="K3" s="28">
        <v>25.9</v>
      </c>
      <c r="L3" s="29">
        <v>0.2401</v>
      </c>
      <c r="M3" s="30" t="s">
        <v>412</v>
      </c>
      <c r="N3" s="25">
        <v>58</v>
      </c>
      <c r="O3" s="25">
        <v>22</v>
      </c>
      <c r="P3" s="25">
        <v>15</v>
      </c>
      <c r="Q3" s="25">
        <v>10</v>
      </c>
      <c r="R3" s="31">
        <v>0.379310344827586</v>
      </c>
      <c r="S3" s="31">
        <v>0.258620689655172</v>
      </c>
      <c r="T3" s="31">
        <v>0.172413793103448</v>
      </c>
      <c r="U3" s="32">
        <f t="shared" ref="U3:U18" si="0">F3/O3</f>
        <v>18.92</v>
      </c>
    </row>
    <row r="4" ht="20" customHeight="1" spans="1:21">
      <c r="A4" s="26" t="s">
        <v>72</v>
      </c>
      <c r="B4" s="26" t="s">
        <v>333</v>
      </c>
      <c r="C4" s="26" t="s">
        <v>659</v>
      </c>
      <c r="D4" s="26" t="s">
        <v>66</v>
      </c>
      <c r="E4" s="27">
        <v>76</v>
      </c>
      <c r="F4" s="28">
        <v>413.86</v>
      </c>
      <c r="G4" s="28">
        <v>5.45</v>
      </c>
      <c r="H4" s="27">
        <v>21267</v>
      </c>
      <c r="I4" s="27">
        <v>172</v>
      </c>
      <c r="J4" s="29">
        <v>0.0081</v>
      </c>
      <c r="K4" s="28">
        <v>19.46</v>
      </c>
      <c r="L4" s="29">
        <v>0.4419</v>
      </c>
      <c r="M4" s="30" t="s">
        <v>412</v>
      </c>
      <c r="N4" s="25">
        <v>57</v>
      </c>
      <c r="O4" s="25">
        <v>22</v>
      </c>
      <c r="P4" s="25">
        <v>14</v>
      </c>
      <c r="Q4" s="25">
        <v>7</v>
      </c>
      <c r="R4" s="31">
        <v>0.385964912280702</v>
      </c>
      <c r="S4" s="31">
        <v>0.245614035087719</v>
      </c>
      <c r="T4" s="31">
        <v>0.12280701754386</v>
      </c>
      <c r="U4" s="32">
        <f t="shared" si="0"/>
        <v>18.8118181818182</v>
      </c>
    </row>
    <row r="5" ht="20" customHeight="1" spans="1:21">
      <c r="A5" s="33" t="s">
        <v>72</v>
      </c>
      <c r="B5" s="33" t="s">
        <v>309</v>
      </c>
      <c r="C5" s="33" t="s">
        <v>658</v>
      </c>
      <c r="D5" s="33" t="s">
        <v>66</v>
      </c>
      <c r="E5" s="34">
        <v>9</v>
      </c>
      <c r="F5" s="35">
        <v>50.98</v>
      </c>
      <c r="G5" s="35">
        <v>5.66</v>
      </c>
      <c r="H5" s="34">
        <v>2823</v>
      </c>
      <c r="I5" s="34">
        <v>41</v>
      </c>
      <c r="J5" s="36">
        <v>0.0145</v>
      </c>
      <c r="K5" s="35">
        <v>18.06</v>
      </c>
      <c r="L5" s="36">
        <v>0.2195</v>
      </c>
      <c r="M5" s="37" t="s">
        <v>41</v>
      </c>
      <c r="N5" s="38">
        <v>6</v>
      </c>
      <c r="O5" s="25">
        <v>1</v>
      </c>
      <c r="P5" s="25">
        <v>0</v>
      </c>
      <c r="Q5" s="25">
        <v>1</v>
      </c>
      <c r="R5" s="31">
        <v>0.166666666666667</v>
      </c>
      <c r="S5" s="31">
        <v>0</v>
      </c>
      <c r="T5" s="31">
        <v>0.166666666666667</v>
      </c>
      <c r="U5" s="32">
        <f t="shared" si="0"/>
        <v>50.98</v>
      </c>
    </row>
    <row r="6" ht="20" customHeight="1" spans="1:21">
      <c r="A6" s="33" t="s">
        <v>72</v>
      </c>
      <c r="B6" s="33" t="s">
        <v>347</v>
      </c>
      <c r="C6" s="33" t="s">
        <v>659</v>
      </c>
      <c r="D6" s="33" t="s">
        <v>66</v>
      </c>
      <c r="E6" s="34">
        <v>7</v>
      </c>
      <c r="F6" s="35">
        <v>42.51</v>
      </c>
      <c r="G6" s="35">
        <v>6.07</v>
      </c>
      <c r="H6" s="34">
        <v>1920</v>
      </c>
      <c r="I6" s="34">
        <v>21</v>
      </c>
      <c r="J6" s="36">
        <v>0.0109</v>
      </c>
      <c r="K6" s="35">
        <v>22.14</v>
      </c>
      <c r="L6" s="36">
        <v>0.3333</v>
      </c>
      <c r="M6" s="37" t="s">
        <v>41</v>
      </c>
      <c r="N6" s="38">
        <v>5</v>
      </c>
      <c r="O6" s="25">
        <v>1</v>
      </c>
      <c r="P6" s="25">
        <v>2</v>
      </c>
      <c r="Q6" s="25">
        <v>1</v>
      </c>
      <c r="R6" s="31">
        <v>0.2</v>
      </c>
      <c r="S6" s="31">
        <v>0.4</v>
      </c>
      <c r="T6" s="31">
        <v>0.2</v>
      </c>
      <c r="U6" s="32">
        <f t="shared" si="0"/>
        <v>42.51</v>
      </c>
    </row>
    <row r="7" ht="20" customHeight="1" spans="1:21">
      <c r="A7" s="33" t="s">
        <v>72</v>
      </c>
      <c r="B7" s="33" t="s">
        <v>237</v>
      </c>
      <c r="C7" s="33" t="s">
        <v>659</v>
      </c>
      <c r="D7" s="33" t="s">
        <v>66</v>
      </c>
      <c r="E7" s="34">
        <v>4</v>
      </c>
      <c r="F7" s="35">
        <v>32.3</v>
      </c>
      <c r="G7" s="35">
        <v>8.07</v>
      </c>
      <c r="H7" s="34">
        <v>988</v>
      </c>
      <c r="I7" s="34">
        <v>17</v>
      </c>
      <c r="J7" s="36">
        <v>0.0172</v>
      </c>
      <c r="K7" s="35">
        <v>32.69</v>
      </c>
      <c r="L7" s="36">
        <v>0.2353</v>
      </c>
      <c r="M7" s="37" t="s">
        <v>41</v>
      </c>
      <c r="N7" s="38">
        <v>2</v>
      </c>
      <c r="O7" s="25">
        <v>1</v>
      </c>
      <c r="P7" s="25">
        <v>0</v>
      </c>
      <c r="Q7" s="25">
        <v>0</v>
      </c>
      <c r="R7" s="31">
        <v>0.5</v>
      </c>
      <c r="S7" s="31">
        <v>0</v>
      </c>
      <c r="T7" s="31">
        <v>0</v>
      </c>
      <c r="U7" s="32">
        <f t="shared" si="0"/>
        <v>32.3</v>
      </c>
    </row>
    <row r="8" ht="20" customHeight="1" spans="1:21">
      <c r="A8" s="33" t="s">
        <v>72</v>
      </c>
      <c r="B8" s="33" t="s">
        <v>369</v>
      </c>
      <c r="C8" s="33" t="s">
        <v>659</v>
      </c>
      <c r="D8" s="33" t="s">
        <v>66</v>
      </c>
      <c r="E8" s="34">
        <v>1</v>
      </c>
      <c r="F8" s="35">
        <v>15.44</v>
      </c>
      <c r="G8" s="35">
        <v>15.44</v>
      </c>
      <c r="H8" s="34">
        <v>520</v>
      </c>
      <c r="I8" s="34">
        <v>8</v>
      </c>
      <c r="J8" s="36">
        <v>0.0154</v>
      </c>
      <c r="K8" s="35">
        <v>29.69</v>
      </c>
      <c r="L8" s="36">
        <v>0.125</v>
      </c>
      <c r="M8" s="37" t="s">
        <v>41</v>
      </c>
      <c r="N8" s="38">
        <v>1</v>
      </c>
      <c r="O8" s="25">
        <v>1</v>
      </c>
      <c r="P8" s="25">
        <v>0</v>
      </c>
      <c r="Q8" s="25">
        <v>0</v>
      </c>
      <c r="R8" s="31">
        <v>1</v>
      </c>
      <c r="S8" s="31">
        <v>0</v>
      </c>
      <c r="T8" s="31">
        <v>0</v>
      </c>
      <c r="U8" s="32">
        <f t="shared" si="0"/>
        <v>15.44</v>
      </c>
    </row>
    <row r="9" ht="20" customHeight="1" spans="1:21">
      <c r="A9" s="39" t="s">
        <v>72</v>
      </c>
      <c r="B9" s="39" t="s">
        <v>369</v>
      </c>
      <c r="C9" s="39" t="s">
        <v>659</v>
      </c>
      <c r="D9" s="39" t="s">
        <v>25</v>
      </c>
      <c r="E9" s="40">
        <v>119</v>
      </c>
      <c r="F9" s="41">
        <v>378.43</v>
      </c>
      <c r="G9" s="41">
        <v>3.18</v>
      </c>
      <c r="H9" s="40">
        <v>14967</v>
      </c>
      <c r="I9" s="40">
        <v>263</v>
      </c>
      <c r="J9" s="42">
        <v>0.0176</v>
      </c>
      <c r="K9" s="41">
        <v>25.28</v>
      </c>
      <c r="L9" s="42">
        <v>0.4525</v>
      </c>
      <c r="M9" s="43" t="s">
        <v>412</v>
      </c>
      <c r="N9" s="25">
        <v>76</v>
      </c>
      <c r="O9" s="25">
        <v>24</v>
      </c>
      <c r="P9" s="25">
        <v>12</v>
      </c>
      <c r="Q9" s="25">
        <v>10</v>
      </c>
      <c r="R9" s="31">
        <v>0.315789473684211</v>
      </c>
      <c r="S9" s="31">
        <v>0.157894736842105</v>
      </c>
      <c r="T9" s="31">
        <v>0.131578947368421</v>
      </c>
      <c r="U9" s="32">
        <f t="shared" si="0"/>
        <v>15.7679166666667</v>
      </c>
    </row>
    <row r="10" ht="20" customHeight="1" spans="1:21">
      <c r="A10" s="39" t="s">
        <v>72</v>
      </c>
      <c r="B10" s="39" t="s">
        <v>347</v>
      </c>
      <c r="C10" s="39" t="s">
        <v>659</v>
      </c>
      <c r="D10" s="39" t="s">
        <v>25</v>
      </c>
      <c r="E10" s="40">
        <v>79</v>
      </c>
      <c r="F10" s="41">
        <v>278.22</v>
      </c>
      <c r="G10" s="41">
        <v>3.52</v>
      </c>
      <c r="H10" s="40">
        <v>12487</v>
      </c>
      <c r="I10" s="40">
        <v>296</v>
      </c>
      <c r="J10" s="42">
        <v>0.0237</v>
      </c>
      <c r="K10" s="41">
        <v>22.28</v>
      </c>
      <c r="L10" s="42">
        <v>0.2669</v>
      </c>
      <c r="M10" s="43" t="s">
        <v>412</v>
      </c>
      <c r="N10" s="25">
        <v>54</v>
      </c>
      <c r="O10" s="25">
        <v>22</v>
      </c>
      <c r="P10" s="25">
        <v>10</v>
      </c>
      <c r="Q10" s="25">
        <v>4</v>
      </c>
      <c r="R10" s="31">
        <v>0.407407407407407</v>
      </c>
      <c r="S10" s="31">
        <v>0.185185185185185</v>
      </c>
      <c r="T10" s="31">
        <v>0.0740740740740741</v>
      </c>
      <c r="U10" s="32">
        <f t="shared" si="0"/>
        <v>12.6463636363636</v>
      </c>
    </row>
    <row r="11" ht="20" customHeight="1" spans="1:21">
      <c r="A11" s="39" t="s">
        <v>72</v>
      </c>
      <c r="B11" s="39" t="s">
        <v>237</v>
      </c>
      <c r="C11" s="39" t="s">
        <v>659</v>
      </c>
      <c r="D11" s="39" t="s">
        <v>25</v>
      </c>
      <c r="E11" s="40">
        <v>74</v>
      </c>
      <c r="F11" s="41">
        <v>279.23</v>
      </c>
      <c r="G11" s="41">
        <v>3.77</v>
      </c>
      <c r="H11" s="40">
        <v>10938</v>
      </c>
      <c r="I11" s="40">
        <v>285</v>
      </c>
      <c r="J11" s="42">
        <v>0.0261</v>
      </c>
      <c r="K11" s="41">
        <v>25.53</v>
      </c>
      <c r="L11" s="42">
        <v>0.2596</v>
      </c>
      <c r="M11" s="43" t="s">
        <v>412</v>
      </c>
      <c r="N11" s="25">
        <v>53</v>
      </c>
      <c r="O11" s="25">
        <v>18</v>
      </c>
      <c r="P11" s="25">
        <v>10</v>
      </c>
      <c r="Q11" s="25">
        <v>6</v>
      </c>
      <c r="R11" s="31">
        <v>0.339622641509434</v>
      </c>
      <c r="S11" s="31">
        <v>0.188679245283019</v>
      </c>
      <c r="T11" s="31">
        <v>0.113207547169811</v>
      </c>
      <c r="U11" s="32">
        <f t="shared" si="0"/>
        <v>15.5127777777778</v>
      </c>
    </row>
    <row r="12" ht="20" customHeight="1" spans="1:21">
      <c r="A12" s="39" t="s">
        <v>72</v>
      </c>
      <c r="B12" s="39" t="s">
        <v>333</v>
      </c>
      <c r="C12" s="39" t="s">
        <v>659</v>
      </c>
      <c r="D12" s="39" t="s">
        <v>25</v>
      </c>
      <c r="E12" s="40">
        <v>70</v>
      </c>
      <c r="F12" s="41">
        <v>245.7</v>
      </c>
      <c r="G12" s="41">
        <v>3.51</v>
      </c>
      <c r="H12" s="40">
        <v>13718</v>
      </c>
      <c r="I12" s="40">
        <v>166</v>
      </c>
      <c r="J12" s="42">
        <v>0.0121</v>
      </c>
      <c r="K12" s="41">
        <v>17.91</v>
      </c>
      <c r="L12" s="42">
        <v>0.4217</v>
      </c>
      <c r="M12" s="43" t="s">
        <v>412</v>
      </c>
      <c r="N12" s="25">
        <v>45</v>
      </c>
      <c r="O12" s="25">
        <v>12</v>
      </c>
      <c r="P12" s="25">
        <v>4</v>
      </c>
      <c r="Q12" s="25">
        <v>5</v>
      </c>
      <c r="R12" s="31">
        <v>0.266666666666667</v>
      </c>
      <c r="S12" s="31">
        <v>0.0888888888888889</v>
      </c>
      <c r="T12" s="31">
        <v>0.111111111111111</v>
      </c>
      <c r="U12" s="32">
        <f t="shared" si="0"/>
        <v>20.475</v>
      </c>
    </row>
    <row r="13" ht="20" customHeight="1" spans="1:21">
      <c r="A13" s="39" t="s">
        <v>72</v>
      </c>
      <c r="B13" s="39" t="s">
        <v>280</v>
      </c>
      <c r="C13" s="39" t="s">
        <v>658</v>
      </c>
      <c r="D13" s="39" t="s">
        <v>25</v>
      </c>
      <c r="E13" s="40">
        <v>59</v>
      </c>
      <c r="F13" s="41">
        <v>202.21</v>
      </c>
      <c r="G13" s="41">
        <v>3.43</v>
      </c>
      <c r="H13" s="40">
        <v>10591</v>
      </c>
      <c r="I13" s="40">
        <v>291</v>
      </c>
      <c r="J13" s="42">
        <v>0.0275</v>
      </c>
      <c r="K13" s="41">
        <v>19.09</v>
      </c>
      <c r="L13" s="42">
        <v>0.2027</v>
      </c>
      <c r="M13" s="43" t="s">
        <v>412</v>
      </c>
      <c r="N13" s="25">
        <v>45</v>
      </c>
      <c r="O13" s="25">
        <v>11</v>
      </c>
      <c r="P13" s="25">
        <v>6</v>
      </c>
      <c r="Q13" s="25">
        <v>2</v>
      </c>
      <c r="R13" s="31">
        <v>0.244444444444444</v>
      </c>
      <c r="S13" s="31">
        <v>0.133333333333333</v>
      </c>
      <c r="T13" s="31">
        <v>0.0444444444444445</v>
      </c>
      <c r="U13" s="32">
        <f t="shared" si="0"/>
        <v>18.3827272727273</v>
      </c>
    </row>
    <row r="14" ht="20" customHeight="1" spans="1:21">
      <c r="A14" s="39" t="s">
        <v>72</v>
      </c>
      <c r="B14" s="39" t="s">
        <v>309</v>
      </c>
      <c r="C14" s="39" t="s">
        <v>658</v>
      </c>
      <c r="D14" s="39" t="s">
        <v>25</v>
      </c>
      <c r="E14" s="40">
        <v>54</v>
      </c>
      <c r="F14" s="41">
        <v>205.26</v>
      </c>
      <c r="G14" s="41">
        <v>3.8</v>
      </c>
      <c r="H14" s="40">
        <v>13490</v>
      </c>
      <c r="I14" s="40">
        <v>266</v>
      </c>
      <c r="J14" s="42">
        <v>0.0197</v>
      </c>
      <c r="K14" s="41">
        <v>15.22</v>
      </c>
      <c r="L14" s="42">
        <v>0.203</v>
      </c>
      <c r="M14" s="43" t="s">
        <v>412</v>
      </c>
      <c r="N14" s="25">
        <v>43</v>
      </c>
      <c r="O14" s="25">
        <v>7</v>
      </c>
      <c r="P14" s="25">
        <v>6</v>
      </c>
      <c r="Q14" s="25">
        <v>3</v>
      </c>
      <c r="R14" s="31">
        <v>0.162790697674419</v>
      </c>
      <c r="S14" s="31">
        <v>0.13953488372093</v>
      </c>
      <c r="T14" s="31">
        <v>0.0697674418604651</v>
      </c>
      <c r="U14" s="32">
        <f t="shared" si="0"/>
        <v>29.3228571428571</v>
      </c>
    </row>
    <row r="15" ht="20" customHeight="1" spans="1:21">
      <c r="A15" s="39" t="s">
        <v>72</v>
      </c>
      <c r="B15" s="39" t="s">
        <v>344</v>
      </c>
      <c r="C15" s="39" t="s">
        <v>659</v>
      </c>
      <c r="D15" s="39" t="s">
        <v>25</v>
      </c>
      <c r="E15" s="40">
        <v>39</v>
      </c>
      <c r="F15" s="41">
        <v>221.33</v>
      </c>
      <c r="G15" s="41">
        <v>5.68</v>
      </c>
      <c r="H15" s="40">
        <v>10189</v>
      </c>
      <c r="I15" s="40">
        <v>122</v>
      </c>
      <c r="J15" s="42">
        <v>0.012</v>
      </c>
      <c r="K15" s="41">
        <v>21.72</v>
      </c>
      <c r="L15" s="42">
        <v>0.3197</v>
      </c>
      <c r="M15" s="43" t="s">
        <v>412</v>
      </c>
      <c r="N15" s="25">
        <v>32</v>
      </c>
      <c r="O15" s="25">
        <v>12</v>
      </c>
      <c r="P15" s="25">
        <v>8</v>
      </c>
      <c r="Q15" s="25">
        <v>7</v>
      </c>
      <c r="R15" s="31">
        <v>0.375</v>
      </c>
      <c r="S15" s="31">
        <v>0.25</v>
      </c>
      <c r="T15" s="31">
        <v>0.21875</v>
      </c>
      <c r="U15" s="32">
        <f t="shared" si="0"/>
        <v>18.4441666666667</v>
      </c>
    </row>
    <row r="16" ht="20" customHeight="1" spans="1:21">
      <c r="A16" s="33" t="s">
        <v>72</v>
      </c>
      <c r="B16" s="33" t="s">
        <v>254</v>
      </c>
      <c r="C16" s="33" t="s">
        <v>659</v>
      </c>
      <c r="D16" s="33" t="s">
        <v>25</v>
      </c>
      <c r="E16" s="34">
        <v>18</v>
      </c>
      <c r="F16" s="35">
        <v>97.41</v>
      </c>
      <c r="G16" s="35">
        <v>5.41</v>
      </c>
      <c r="H16" s="34">
        <v>5709</v>
      </c>
      <c r="I16" s="34">
        <v>81</v>
      </c>
      <c r="J16" s="36">
        <v>0.0142</v>
      </c>
      <c r="K16" s="35">
        <v>17.06</v>
      </c>
      <c r="L16" s="36">
        <v>0.2222</v>
      </c>
      <c r="M16" s="37" t="s">
        <v>41</v>
      </c>
      <c r="N16" s="38">
        <v>10</v>
      </c>
      <c r="O16" s="25">
        <v>1</v>
      </c>
      <c r="P16" s="25">
        <v>2</v>
      </c>
      <c r="Q16" s="25">
        <v>0</v>
      </c>
      <c r="R16" s="31">
        <v>0.1</v>
      </c>
      <c r="S16" s="31">
        <v>0.2</v>
      </c>
      <c r="T16" s="31">
        <v>0</v>
      </c>
      <c r="U16" s="32">
        <f t="shared" si="0"/>
        <v>97.41</v>
      </c>
    </row>
    <row r="17" ht="20" customHeight="1" spans="1:21">
      <c r="A17" s="33" t="s">
        <v>72</v>
      </c>
      <c r="B17" s="33" t="s">
        <v>217</v>
      </c>
      <c r="C17" s="33" t="s">
        <v>658</v>
      </c>
      <c r="D17" s="33" t="s">
        <v>25</v>
      </c>
      <c r="E17" s="34">
        <v>15</v>
      </c>
      <c r="F17" s="35">
        <v>61.9</v>
      </c>
      <c r="G17" s="35">
        <v>4.13</v>
      </c>
      <c r="H17" s="34">
        <v>2793</v>
      </c>
      <c r="I17" s="34">
        <v>62</v>
      </c>
      <c r="J17" s="36">
        <v>0.0222</v>
      </c>
      <c r="K17" s="35">
        <v>22.16</v>
      </c>
      <c r="L17" s="36">
        <v>0.2419</v>
      </c>
      <c r="M17" s="37" t="s">
        <v>41</v>
      </c>
      <c r="N17" s="38">
        <v>9</v>
      </c>
      <c r="O17" s="25">
        <v>4</v>
      </c>
      <c r="P17" s="25">
        <v>3</v>
      </c>
      <c r="Q17" s="25">
        <v>3</v>
      </c>
      <c r="R17" s="31">
        <v>0.444444444444444</v>
      </c>
      <c r="S17" s="31">
        <v>0.333333333333333</v>
      </c>
      <c r="T17" s="31">
        <v>0.333333333333333</v>
      </c>
      <c r="U17" s="32">
        <f t="shared" si="0"/>
        <v>15.475</v>
      </c>
    </row>
    <row r="18" ht="20" customHeight="1" spans="1:21">
      <c r="A18" s="33" t="s">
        <v>72</v>
      </c>
      <c r="B18" s="33" t="s">
        <v>264</v>
      </c>
      <c r="C18" s="33" t="s">
        <v>659</v>
      </c>
      <c r="D18" s="33" t="s">
        <v>25</v>
      </c>
      <c r="E18" s="34">
        <v>6</v>
      </c>
      <c r="F18" s="35">
        <v>51.58</v>
      </c>
      <c r="G18" s="35">
        <v>8.6</v>
      </c>
      <c r="H18" s="34">
        <v>1838</v>
      </c>
      <c r="I18" s="34">
        <v>26</v>
      </c>
      <c r="J18" s="36">
        <v>0.0141</v>
      </c>
      <c r="K18" s="35">
        <v>28.06</v>
      </c>
      <c r="L18" s="36">
        <v>0.2308</v>
      </c>
      <c r="M18" s="37" t="s">
        <v>41</v>
      </c>
      <c r="N18" s="38">
        <v>7</v>
      </c>
      <c r="O18" s="25">
        <v>1</v>
      </c>
      <c r="P18" s="25">
        <v>1</v>
      </c>
      <c r="Q18" s="25">
        <v>0</v>
      </c>
      <c r="R18" s="31">
        <v>0.142857142857143</v>
      </c>
      <c r="S18" s="31">
        <v>0.142857142857143</v>
      </c>
      <c r="T18" s="31">
        <v>0</v>
      </c>
      <c r="U18" s="32">
        <f t="shared" si="0"/>
        <v>51.58</v>
      </c>
    </row>
    <row r="19" ht="20" customHeight="1" spans="1:21">
      <c r="A19" s="44" t="s">
        <v>660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4"/>
      <c r="N19" s="25"/>
      <c r="O19" s="25"/>
      <c r="P19" s="25"/>
      <c r="Q19" s="25"/>
      <c r="R19" s="25"/>
      <c r="S19" s="25"/>
      <c r="T19" s="25"/>
      <c r="U19" s="25"/>
    </row>
    <row r="20" ht="20" customHeight="1" spans="1:21">
      <c r="A20" s="45" t="s">
        <v>24</v>
      </c>
      <c r="B20" s="45" t="s">
        <v>280</v>
      </c>
      <c r="C20" s="45" t="s">
        <v>658</v>
      </c>
      <c r="D20" s="45" t="s">
        <v>66</v>
      </c>
      <c r="E20" s="46">
        <v>168</v>
      </c>
      <c r="F20" s="47">
        <v>1407.3</v>
      </c>
      <c r="G20" s="47">
        <v>8.38</v>
      </c>
      <c r="H20" s="46">
        <v>54032</v>
      </c>
      <c r="I20" s="46">
        <v>664</v>
      </c>
      <c r="J20" s="48">
        <v>0.0123</v>
      </c>
      <c r="K20" s="47">
        <v>26.05</v>
      </c>
      <c r="L20" s="48">
        <v>0.253</v>
      </c>
      <c r="M20" s="49" t="s">
        <v>412</v>
      </c>
      <c r="N20" s="25">
        <v>128</v>
      </c>
      <c r="O20" s="25">
        <v>36</v>
      </c>
      <c r="P20" s="25">
        <v>20</v>
      </c>
      <c r="Q20" s="25">
        <v>16</v>
      </c>
      <c r="R20" s="31">
        <v>0.28125</v>
      </c>
      <c r="S20" s="31">
        <v>0.15625</v>
      </c>
      <c r="T20" s="31">
        <v>0.125</v>
      </c>
      <c r="U20" s="50">
        <f t="shared" ref="U20:U56" si="1">F20/O20</f>
        <v>39.0916666666667</v>
      </c>
    </row>
    <row r="21" ht="20" customHeight="1" spans="1:21">
      <c r="A21" s="45" t="s">
        <v>24</v>
      </c>
      <c r="B21" s="45" t="s">
        <v>333</v>
      </c>
      <c r="C21" s="45" t="s">
        <v>659</v>
      </c>
      <c r="D21" s="45" t="s">
        <v>66</v>
      </c>
      <c r="E21" s="46">
        <v>101</v>
      </c>
      <c r="F21" s="47">
        <v>850.67</v>
      </c>
      <c r="G21" s="47">
        <v>8.42</v>
      </c>
      <c r="H21" s="46">
        <v>35873</v>
      </c>
      <c r="I21" s="46">
        <v>252</v>
      </c>
      <c r="J21" s="48">
        <v>0.007</v>
      </c>
      <c r="K21" s="47">
        <v>23.71</v>
      </c>
      <c r="L21" s="48">
        <v>0.4008</v>
      </c>
      <c r="M21" s="49" t="s">
        <v>412</v>
      </c>
      <c r="N21" s="25">
        <v>77</v>
      </c>
      <c r="O21" s="25">
        <v>27</v>
      </c>
      <c r="P21" s="25">
        <v>14</v>
      </c>
      <c r="Q21" s="25">
        <v>10</v>
      </c>
      <c r="R21" s="31">
        <v>0.350649350649351</v>
      </c>
      <c r="S21" s="31">
        <v>0.181818181818182</v>
      </c>
      <c r="T21" s="31">
        <v>0.12987012987013</v>
      </c>
      <c r="U21" s="50">
        <f t="shared" si="1"/>
        <v>31.5062962962963</v>
      </c>
    </row>
    <row r="22" ht="20" customHeight="1" spans="1:21">
      <c r="A22" s="45" t="s">
        <v>24</v>
      </c>
      <c r="B22" s="45" t="s">
        <v>237</v>
      </c>
      <c r="C22" s="45" t="s">
        <v>659</v>
      </c>
      <c r="D22" s="45" t="s">
        <v>66</v>
      </c>
      <c r="E22" s="46">
        <v>32</v>
      </c>
      <c r="F22" s="47">
        <v>260.86</v>
      </c>
      <c r="G22" s="47">
        <v>8.15</v>
      </c>
      <c r="H22" s="46">
        <v>7486</v>
      </c>
      <c r="I22" s="46">
        <v>72</v>
      </c>
      <c r="J22" s="48">
        <v>0.0096</v>
      </c>
      <c r="K22" s="47">
        <v>34.85</v>
      </c>
      <c r="L22" s="48">
        <v>0.4444</v>
      </c>
      <c r="M22" s="49" t="s">
        <v>41</v>
      </c>
      <c r="N22" s="38">
        <v>21</v>
      </c>
      <c r="O22" s="25">
        <v>6</v>
      </c>
      <c r="P22" s="25">
        <v>2</v>
      </c>
      <c r="Q22" s="25">
        <v>2</v>
      </c>
      <c r="R22" s="31">
        <v>0.285714285714286</v>
      </c>
      <c r="S22" s="31">
        <v>0.0952380952380952</v>
      </c>
      <c r="T22" s="31">
        <v>0.0952380952380952</v>
      </c>
      <c r="U22" s="50">
        <f t="shared" si="1"/>
        <v>43.4766666666667</v>
      </c>
    </row>
    <row r="23" ht="20" customHeight="1" spans="1:21">
      <c r="A23" s="51" t="s">
        <v>24</v>
      </c>
      <c r="B23" s="51" t="s">
        <v>369</v>
      </c>
      <c r="C23" s="51" t="s">
        <v>659</v>
      </c>
      <c r="D23" s="51" t="s">
        <v>66</v>
      </c>
      <c r="E23" s="52">
        <v>16</v>
      </c>
      <c r="F23" s="53">
        <v>142.27</v>
      </c>
      <c r="G23" s="53">
        <v>8.89</v>
      </c>
      <c r="H23" s="52">
        <v>3221</v>
      </c>
      <c r="I23" s="52">
        <v>34</v>
      </c>
      <c r="J23" s="54">
        <v>0.0106</v>
      </c>
      <c r="K23" s="53">
        <v>44.17</v>
      </c>
      <c r="L23" s="54">
        <v>0.4706</v>
      </c>
      <c r="M23" s="55" t="s">
        <v>41</v>
      </c>
      <c r="N23" s="38">
        <v>12</v>
      </c>
      <c r="O23" s="25">
        <v>6</v>
      </c>
      <c r="P23" s="25">
        <v>3</v>
      </c>
      <c r="Q23" s="25">
        <v>2</v>
      </c>
      <c r="R23" s="31">
        <v>0.5</v>
      </c>
      <c r="S23" s="31">
        <v>0.25</v>
      </c>
      <c r="T23" s="31">
        <v>0.166666666666667</v>
      </c>
      <c r="U23" s="50">
        <f t="shared" si="1"/>
        <v>23.7116666666667</v>
      </c>
    </row>
    <row r="24" ht="20" customHeight="1" spans="1:21">
      <c r="A24" s="51" t="s">
        <v>24</v>
      </c>
      <c r="B24" s="51" t="s">
        <v>347</v>
      </c>
      <c r="C24" s="51" t="s">
        <v>659</v>
      </c>
      <c r="D24" s="51" t="s">
        <v>66</v>
      </c>
      <c r="E24" s="52">
        <v>8</v>
      </c>
      <c r="F24" s="53">
        <v>76.73</v>
      </c>
      <c r="G24" s="53">
        <v>9.59</v>
      </c>
      <c r="H24" s="52">
        <v>2953</v>
      </c>
      <c r="I24" s="52">
        <v>25</v>
      </c>
      <c r="J24" s="54">
        <v>0.0085</v>
      </c>
      <c r="K24" s="53">
        <v>25.98</v>
      </c>
      <c r="L24" s="54">
        <v>0.32</v>
      </c>
      <c r="M24" s="55" t="s">
        <v>41</v>
      </c>
      <c r="N24" s="38">
        <v>4</v>
      </c>
      <c r="O24" s="25">
        <v>1</v>
      </c>
      <c r="P24" s="25">
        <v>1</v>
      </c>
      <c r="Q24" s="25">
        <v>0</v>
      </c>
      <c r="R24" s="31">
        <v>0.25</v>
      </c>
      <c r="S24" s="31">
        <v>0.25</v>
      </c>
      <c r="T24" s="31">
        <v>0</v>
      </c>
      <c r="U24" s="50">
        <f t="shared" si="1"/>
        <v>76.73</v>
      </c>
    </row>
    <row r="25" ht="20" customHeight="1" spans="1:21">
      <c r="A25" s="56" t="s">
        <v>24</v>
      </c>
      <c r="B25" s="56" t="s">
        <v>357</v>
      </c>
      <c r="C25" s="56" t="s">
        <v>658</v>
      </c>
      <c r="D25" s="56" t="s">
        <v>25</v>
      </c>
      <c r="E25" s="57">
        <v>293</v>
      </c>
      <c r="F25" s="58">
        <v>1277.46</v>
      </c>
      <c r="G25" s="58">
        <v>4.36</v>
      </c>
      <c r="H25" s="57">
        <v>89613</v>
      </c>
      <c r="I25" s="57">
        <v>1478</v>
      </c>
      <c r="J25" s="59">
        <v>0.0165</v>
      </c>
      <c r="K25" s="58">
        <v>14.26</v>
      </c>
      <c r="L25" s="59">
        <v>0.1982</v>
      </c>
      <c r="M25" s="60" t="s">
        <v>412</v>
      </c>
      <c r="N25" s="25">
        <v>232</v>
      </c>
      <c r="O25" s="25">
        <v>64</v>
      </c>
      <c r="P25" s="25">
        <v>32</v>
      </c>
      <c r="Q25" s="25">
        <v>24</v>
      </c>
      <c r="R25" s="31">
        <v>0.275862068965517</v>
      </c>
      <c r="S25" s="31">
        <v>0.137931034482759</v>
      </c>
      <c r="T25" s="31">
        <v>0.103448275862069</v>
      </c>
      <c r="U25" s="50">
        <f t="shared" si="1"/>
        <v>19.9603125</v>
      </c>
    </row>
    <row r="26" ht="20" customHeight="1" spans="1:21">
      <c r="A26" s="56" t="s">
        <v>24</v>
      </c>
      <c r="B26" s="56" t="s">
        <v>280</v>
      </c>
      <c r="C26" s="56" t="s">
        <v>658</v>
      </c>
      <c r="D26" s="56" t="s">
        <v>25</v>
      </c>
      <c r="E26" s="57">
        <v>146</v>
      </c>
      <c r="F26" s="58">
        <v>1270.76</v>
      </c>
      <c r="G26" s="58">
        <v>8.7</v>
      </c>
      <c r="H26" s="57">
        <v>74056</v>
      </c>
      <c r="I26" s="57">
        <v>1083</v>
      </c>
      <c r="J26" s="59">
        <v>0.0146</v>
      </c>
      <c r="K26" s="58">
        <v>17.16</v>
      </c>
      <c r="L26" s="59">
        <v>0.1348</v>
      </c>
      <c r="M26" s="60" t="s">
        <v>412</v>
      </c>
      <c r="N26" s="25">
        <v>95</v>
      </c>
      <c r="O26" s="25">
        <v>25</v>
      </c>
      <c r="P26" s="25">
        <v>10</v>
      </c>
      <c r="Q26" s="25">
        <v>10</v>
      </c>
      <c r="R26" s="31">
        <v>0.263157894736842</v>
      </c>
      <c r="S26" s="31">
        <v>0.105263157894737</v>
      </c>
      <c r="T26" s="31">
        <v>0.105263157894737</v>
      </c>
      <c r="U26" s="50">
        <f t="shared" si="1"/>
        <v>50.8304</v>
      </c>
    </row>
    <row r="27" ht="20" customHeight="1" spans="1:21">
      <c r="A27" s="56" t="s">
        <v>24</v>
      </c>
      <c r="B27" s="56" t="s">
        <v>352</v>
      </c>
      <c r="C27" s="56" t="s">
        <v>659</v>
      </c>
      <c r="D27" s="56" t="s">
        <v>25</v>
      </c>
      <c r="E27" s="57">
        <v>142</v>
      </c>
      <c r="F27" s="58">
        <v>976.51</v>
      </c>
      <c r="G27" s="58">
        <v>6.88</v>
      </c>
      <c r="H27" s="57">
        <v>53519</v>
      </c>
      <c r="I27" s="57">
        <v>546</v>
      </c>
      <c r="J27" s="59">
        <v>0.0102</v>
      </c>
      <c r="K27" s="58">
        <v>18.25</v>
      </c>
      <c r="L27" s="59">
        <v>0.2601</v>
      </c>
      <c r="M27" s="60" t="s">
        <v>412</v>
      </c>
      <c r="N27" s="25">
        <v>96</v>
      </c>
      <c r="O27" s="25">
        <v>26</v>
      </c>
      <c r="P27" s="25">
        <v>23</v>
      </c>
      <c r="Q27" s="25">
        <v>14</v>
      </c>
      <c r="R27" s="31">
        <v>0.270833333333333</v>
      </c>
      <c r="S27" s="31">
        <v>0.239583333333333</v>
      </c>
      <c r="T27" s="31">
        <v>0.145833333333333</v>
      </c>
      <c r="U27" s="50">
        <f t="shared" si="1"/>
        <v>37.5580769230769</v>
      </c>
    </row>
    <row r="28" ht="20" customHeight="1" spans="1:21">
      <c r="A28" s="56" t="s">
        <v>24</v>
      </c>
      <c r="B28" s="56" t="s">
        <v>203</v>
      </c>
      <c r="C28" s="56" t="s">
        <v>658</v>
      </c>
      <c r="D28" s="56" t="s">
        <v>25</v>
      </c>
      <c r="E28" s="57">
        <v>130</v>
      </c>
      <c r="F28" s="58">
        <v>1351.51</v>
      </c>
      <c r="G28" s="58">
        <v>10.4</v>
      </c>
      <c r="H28" s="57">
        <v>69509</v>
      </c>
      <c r="I28" s="57">
        <v>886</v>
      </c>
      <c r="J28" s="59">
        <v>0.0127</v>
      </c>
      <c r="K28" s="58">
        <v>19.44</v>
      </c>
      <c r="L28" s="59">
        <v>0.1467</v>
      </c>
      <c r="M28" s="60" t="s">
        <v>412</v>
      </c>
      <c r="N28" s="25">
        <v>95</v>
      </c>
      <c r="O28" s="25">
        <v>17</v>
      </c>
      <c r="P28" s="25">
        <v>9</v>
      </c>
      <c r="Q28" s="25">
        <v>4</v>
      </c>
      <c r="R28" s="31">
        <v>0.178947368421053</v>
      </c>
      <c r="S28" s="31">
        <v>0.0947368421052632</v>
      </c>
      <c r="T28" s="31">
        <v>0.0421052631578947</v>
      </c>
      <c r="U28" s="50">
        <f t="shared" si="1"/>
        <v>79.5005882352941</v>
      </c>
    </row>
    <row r="29" ht="20" customHeight="1" spans="1:21">
      <c r="A29" s="56" t="s">
        <v>24</v>
      </c>
      <c r="B29" s="56" t="s">
        <v>333</v>
      </c>
      <c r="C29" s="56" t="s">
        <v>659</v>
      </c>
      <c r="D29" s="56" t="s">
        <v>25</v>
      </c>
      <c r="E29" s="57">
        <v>85</v>
      </c>
      <c r="F29" s="58">
        <v>423.55</v>
      </c>
      <c r="G29" s="58">
        <v>4.98</v>
      </c>
      <c r="H29" s="57">
        <v>21342</v>
      </c>
      <c r="I29" s="57">
        <v>643</v>
      </c>
      <c r="J29" s="59">
        <v>0.0301</v>
      </c>
      <c r="K29" s="58">
        <v>19.85</v>
      </c>
      <c r="L29" s="59">
        <v>0.1322</v>
      </c>
      <c r="M29" s="60" t="s">
        <v>412</v>
      </c>
      <c r="N29" s="25">
        <v>77</v>
      </c>
      <c r="O29" s="25">
        <v>16</v>
      </c>
      <c r="P29" s="25">
        <v>4</v>
      </c>
      <c r="Q29" s="25">
        <v>5</v>
      </c>
      <c r="R29" s="31">
        <v>0.207792207792208</v>
      </c>
      <c r="S29" s="31">
        <v>0.051948051948052</v>
      </c>
      <c r="T29" s="31">
        <v>0.0649350649350649</v>
      </c>
      <c r="U29" s="50">
        <f t="shared" si="1"/>
        <v>26.471875</v>
      </c>
    </row>
    <row r="30" ht="20" customHeight="1" spans="1:21">
      <c r="A30" s="56" t="s">
        <v>24</v>
      </c>
      <c r="B30" s="56" t="s">
        <v>170</v>
      </c>
      <c r="C30" s="56" t="s">
        <v>659</v>
      </c>
      <c r="D30" s="56" t="s">
        <v>25</v>
      </c>
      <c r="E30" s="57">
        <v>83</v>
      </c>
      <c r="F30" s="58">
        <v>912.79</v>
      </c>
      <c r="G30" s="58">
        <v>11</v>
      </c>
      <c r="H30" s="57">
        <v>28683</v>
      </c>
      <c r="I30" s="57">
        <v>453</v>
      </c>
      <c r="J30" s="59">
        <v>0.0158</v>
      </c>
      <c r="K30" s="58">
        <v>31.82</v>
      </c>
      <c r="L30" s="59">
        <v>0.1832</v>
      </c>
      <c r="M30" s="60" t="s">
        <v>412</v>
      </c>
      <c r="N30" s="25">
        <v>65</v>
      </c>
      <c r="O30" s="25">
        <v>14</v>
      </c>
      <c r="P30" s="25">
        <v>6</v>
      </c>
      <c r="Q30" s="25">
        <v>4</v>
      </c>
      <c r="R30" s="31">
        <v>0.215384615384615</v>
      </c>
      <c r="S30" s="31">
        <v>0.0923076923076923</v>
      </c>
      <c r="T30" s="31">
        <v>0.0615384615384615</v>
      </c>
      <c r="U30" s="50">
        <f t="shared" si="1"/>
        <v>65.1992857142857</v>
      </c>
    </row>
    <row r="31" ht="20" customHeight="1" spans="1:21">
      <c r="A31" s="56" t="s">
        <v>24</v>
      </c>
      <c r="B31" s="56" t="s">
        <v>331</v>
      </c>
      <c r="C31" s="56" t="s">
        <v>658</v>
      </c>
      <c r="D31" s="56" t="s">
        <v>25</v>
      </c>
      <c r="E31" s="57">
        <v>79</v>
      </c>
      <c r="F31" s="58">
        <v>374.39</v>
      </c>
      <c r="G31" s="58">
        <v>4.74</v>
      </c>
      <c r="H31" s="57">
        <v>21677</v>
      </c>
      <c r="I31" s="57">
        <v>308</v>
      </c>
      <c r="J31" s="59">
        <v>0.0142</v>
      </c>
      <c r="K31" s="58">
        <v>17.27</v>
      </c>
      <c r="L31" s="59">
        <v>0.2565</v>
      </c>
      <c r="M31" s="60" t="s">
        <v>412</v>
      </c>
      <c r="N31" s="25">
        <v>60</v>
      </c>
      <c r="O31" s="25">
        <v>17</v>
      </c>
      <c r="P31" s="25">
        <v>10</v>
      </c>
      <c r="Q31" s="25">
        <v>6</v>
      </c>
      <c r="R31" s="31">
        <v>0.283333333333333</v>
      </c>
      <c r="S31" s="31">
        <v>0.166666666666667</v>
      </c>
      <c r="T31" s="31">
        <v>0.1</v>
      </c>
      <c r="U31" s="50">
        <f t="shared" si="1"/>
        <v>22.0229411764706</v>
      </c>
    </row>
    <row r="32" ht="20" customHeight="1" spans="1:21">
      <c r="A32" s="56" t="s">
        <v>24</v>
      </c>
      <c r="B32" s="56" t="s">
        <v>326</v>
      </c>
      <c r="C32" s="56" t="s">
        <v>659</v>
      </c>
      <c r="D32" s="56" t="s">
        <v>25</v>
      </c>
      <c r="E32" s="57">
        <v>70</v>
      </c>
      <c r="F32" s="58">
        <v>272.44</v>
      </c>
      <c r="G32" s="58">
        <v>3.89</v>
      </c>
      <c r="H32" s="57">
        <v>13634</v>
      </c>
      <c r="I32" s="57">
        <v>217</v>
      </c>
      <c r="J32" s="59">
        <v>0.0159</v>
      </c>
      <c r="K32" s="58">
        <v>19.98</v>
      </c>
      <c r="L32" s="59">
        <v>0.3226</v>
      </c>
      <c r="M32" s="60" t="s">
        <v>412</v>
      </c>
      <c r="N32" s="25">
        <v>54</v>
      </c>
      <c r="O32" s="25">
        <v>10</v>
      </c>
      <c r="P32" s="25">
        <v>5</v>
      </c>
      <c r="Q32" s="25">
        <v>4</v>
      </c>
      <c r="R32" s="31">
        <v>0.185185185185185</v>
      </c>
      <c r="S32" s="31">
        <v>0.0925925925925926</v>
      </c>
      <c r="T32" s="31">
        <v>0.0740740740740741</v>
      </c>
      <c r="U32" s="50">
        <f t="shared" si="1"/>
        <v>27.244</v>
      </c>
    </row>
    <row r="33" ht="20" customHeight="1" spans="1:21">
      <c r="A33" s="56" t="s">
        <v>24</v>
      </c>
      <c r="B33" s="56" t="s">
        <v>346</v>
      </c>
      <c r="C33" s="56" t="s">
        <v>658</v>
      </c>
      <c r="D33" s="56" t="s">
        <v>25</v>
      </c>
      <c r="E33" s="57">
        <v>55</v>
      </c>
      <c r="F33" s="58">
        <v>473</v>
      </c>
      <c r="G33" s="58">
        <v>8.6</v>
      </c>
      <c r="H33" s="57">
        <v>26305</v>
      </c>
      <c r="I33" s="57">
        <v>248</v>
      </c>
      <c r="J33" s="59">
        <v>0.0094</v>
      </c>
      <c r="K33" s="58">
        <v>17.98</v>
      </c>
      <c r="L33" s="59">
        <v>0.2218</v>
      </c>
      <c r="M33" s="60" t="s">
        <v>412</v>
      </c>
      <c r="N33" s="25">
        <v>44</v>
      </c>
      <c r="O33" s="25">
        <v>14</v>
      </c>
      <c r="P33" s="25">
        <v>9</v>
      </c>
      <c r="Q33" s="25">
        <v>8</v>
      </c>
      <c r="R33" s="31">
        <v>0.318181818181818</v>
      </c>
      <c r="S33" s="31">
        <v>0.204545454545455</v>
      </c>
      <c r="T33" s="31">
        <v>0.181818181818182</v>
      </c>
      <c r="U33" s="50">
        <f t="shared" si="1"/>
        <v>33.7857142857143</v>
      </c>
    </row>
    <row r="34" ht="20" customHeight="1" spans="1:21">
      <c r="A34" s="56" t="s">
        <v>24</v>
      </c>
      <c r="B34" s="56" t="s">
        <v>257</v>
      </c>
      <c r="C34" s="56" t="s">
        <v>659</v>
      </c>
      <c r="D34" s="56" t="s">
        <v>25</v>
      </c>
      <c r="E34" s="57">
        <v>43</v>
      </c>
      <c r="F34" s="58">
        <v>383.09</v>
      </c>
      <c r="G34" s="58">
        <v>8.91</v>
      </c>
      <c r="H34" s="57">
        <v>14579</v>
      </c>
      <c r="I34" s="57">
        <v>180</v>
      </c>
      <c r="J34" s="59">
        <v>0.0123</v>
      </c>
      <c r="K34" s="58">
        <v>26.28</v>
      </c>
      <c r="L34" s="59">
        <v>0.2389</v>
      </c>
      <c r="M34" s="60" t="s">
        <v>412</v>
      </c>
      <c r="N34" s="25">
        <v>31</v>
      </c>
      <c r="O34" s="25">
        <v>7</v>
      </c>
      <c r="P34" s="25">
        <v>6</v>
      </c>
      <c r="Q34" s="25">
        <v>1</v>
      </c>
      <c r="R34" s="31">
        <v>0.225806451612903</v>
      </c>
      <c r="S34" s="31">
        <v>0.193548387096774</v>
      </c>
      <c r="T34" s="31">
        <v>0.032258064516129</v>
      </c>
      <c r="U34" s="50">
        <f t="shared" si="1"/>
        <v>54.7271428571429</v>
      </c>
    </row>
    <row r="35" ht="20" customHeight="1" spans="1:21">
      <c r="A35" s="56" t="s">
        <v>24</v>
      </c>
      <c r="B35" s="56" t="s">
        <v>183</v>
      </c>
      <c r="C35" s="56" t="s">
        <v>659</v>
      </c>
      <c r="D35" s="56" t="s">
        <v>25</v>
      </c>
      <c r="E35" s="57">
        <v>37</v>
      </c>
      <c r="F35" s="58">
        <v>276.61</v>
      </c>
      <c r="G35" s="58">
        <v>7.48</v>
      </c>
      <c r="H35" s="57">
        <v>9937</v>
      </c>
      <c r="I35" s="57">
        <v>304</v>
      </c>
      <c r="J35" s="59">
        <v>0.0306</v>
      </c>
      <c r="K35" s="58">
        <v>27.84</v>
      </c>
      <c r="L35" s="59">
        <v>0.1217</v>
      </c>
      <c r="M35" s="60" t="s">
        <v>412</v>
      </c>
      <c r="N35" s="25">
        <v>41</v>
      </c>
      <c r="O35" s="25">
        <v>13</v>
      </c>
      <c r="P35" s="25">
        <v>5</v>
      </c>
      <c r="Q35" s="25">
        <v>4</v>
      </c>
      <c r="R35" s="31">
        <v>0.317073170731707</v>
      </c>
      <c r="S35" s="31">
        <v>0.121951219512195</v>
      </c>
      <c r="T35" s="31">
        <v>0.0975609756097561</v>
      </c>
      <c r="U35" s="50">
        <f t="shared" si="1"/>
        <v>21.2776923076923</v>
      </c>
    </row>
    <row r="36" ht="20" customHeight="1" spans="1:21">
      <c r="A36" s="56" t="s">
        <v>24</v>
      </c>
      <c r="B36" s="56" t="s">
        <v>355</v>
      </c>
      <c r="C36" s="56" t="s">
        <v>658</v>
      </c>
      <c r="D36" s="56" t="s">
        <v>25</v>
      </c>
      <c r="E36" s="57">
        <v>29</v>
      </c>
      <c r="F36" s="58">
        <v>106.65</v>
      </c>
      <c r="G36" s="58">
        <v>3.68</v>
      </c>
      <c r="H36" s="57">
        <v>7620</v>
      </c>
      <c r="I36" s="57">
        <v>183</v>
      </c>
      <c r="J36" s="59">
        <v>0.024</v>
      </c>
      <c r="K36" s="58">
        <v>14</v>
      </c>
      <c r="L36" s="59">
        <v>0.1585</v>
      </c>
      <c r="M36" s="60" t="s">
        <v>41</v>
      </c>
      <c r="N36" s="38">
        <v>27</v>
      </c>
      <c r="O36" s="25">
        <v>9</v>
      </c>
      <c r="P36" s="25">
        <v>2</v>
      </c>
      <c r="Q36" s="25">
        <v>2</v>
      </c>
      <c r="R36" s="31">
        <v>0.333333333333333</v>
      </c>
      <c r="S36" s="31">
        <v>0.0740740740740741</v>
      </c>
      <c r="T36" s="31">
        <v>0.0740740740740741</v>
      </c>
      <c r="U36" s="50">
        <f t="shared" si="1"/>
        <v>11.85</v>
      </c>
    </row>
    <row r="37" ht="20" customHeight="1" spans="1:21">
      <c r="A37" s="56" t="s">
        <v>24</v>
      </c>
      <c r="B37" s="56" t="s">
        <v>369</v>
      </c>
      <c r="C37" s="56" t="s">
        <v>659</v>
      </c>
      <c r="D37" s="56" t="s">
        <v>25</v>
      </c>
      <c r="E37" s="57">
        <v>28</v>
      </c>
      <c r="F37" s="58">
        <v>156.84</v>
      </c>
      <c r="G37" s="58">
        <v>5.6</v>
      </c>
      <c r="H37" s="57">
        <v>5234</v>
      </c>
      <c r="I37" s="57">
        <v>130</v>
      </c>
      <c r="J37" s="59">
        <v>0.0248</v>
      </c>
      <c r="K37" s="58">
        <v>29.97</v>
      </c>
      <c r="L37" s="59">
        <v>0.2154</v>
      </c>
      <c r="M37" s="60" t="s">
        <v>41</v>
      </c>
      <c r="N37" s="38">
        <v>24</v>
      </c>
      <c r="O37" s="25">
        <v>4</v>
      </c>
      <c r="P37" s="25">
        <v>2</v>
      </c>
      <c r="Q37" s="25">
        <v>2</v>
      </c>
      <c r="R37" s="31">
        <v>0.166666666666667</v>
      </c>
      <c r="S37" s="31">
        <v>0.0833333333333333</v>
      </c>
      <c r="T37" s="31">
        <v>0.0833333333333333</v>
      </c>
      <c r="U37" s="50">
        <f t="shared" si="1"/>
        <v>39.21</v>
      </c>
    </row>
    <row r="38" ht="20" customHeight="1" spans="1:21">
      <c r="A38" s="56" t="s">
        <v>24</v>
      </c>
      <c r="B38" s="56" t="s">
        <v>340</v>
      </c>
      <c r="C38" s="56" t="s">
        <v>658</v>
      </c>
      <c r="D38" s="56" t="s">
        <v>25</v>
      </c>
      <c r="E38" s="57">
        <v>20</v>
      </c>
      <c r="F38" s="58">
        <v>150.37</v>
      </c>
      <c r="G38" s="58">
        <v>7.52</v>
      </c>
      <c r="H38" s="57">
        <v>8105</v>
      </c>
      <c r="I38" s="57">
        <v>147</v>
      </c>
      <c r="J38" s="59">
        <v>0.0181</v>
      </c>
      <c r="K38" s="58">
        <v>18.55</v>
      </c>
      <c r="L38" s="59">
        <v>0.1361</v>
      </c>
      <c r="M38" s="60" t="s">
        <v>41</v>
      </c>
      <c r="N38" s="38">
        <v>14</v>
      </c>
      <c r="O38" s="25">
        <v>5</v>
      </c>
      <c r="P38" s="25">
        <v>5</v>
      </c>
      <c r="Q38" s="25">
        <v>0</v>
      </c>
      <c r="R38" s="31">
        <v>0.357142857142857</v>
      </c>
      <c r="S38" s="31">
        <v>0.357142857142857</v>
      </c>
      <c r="T38" s="31">
        <v>0</v>
      </c>
      <c r="U38" s="50">
        <f t="shared" si="1"/>
        <v>30.074</v>
      </c>
    </row>
    <row r="39" ht="20" customHeight="1" spans="1:21">
      <c r="A39" s="51" t="s">
        <v>24</v>
      </c>
      <c r="B39" s="51" t="s">
        <v>164</v>
      </c>
      <c r="C39" s="51" t="s">
        <v>659</v>
      </c>
      <c r="D39" s="51" t="s">
        <v>25</v>
      </c>
      <c r="E39" s="52">
        <v>17</v>
      </c>
      <c r="F39" s="53">
        <v>153.22</v>
      </c>
      <c r="G39" s="53">
        <v>9.01</v>
      </c>
      <c r="H39" s="52">
        <v>6241</v>
      </c>
      <c r="I39" s="52">
        <v>67</v>
      </c>
      <c r="J39" s="54">
        <v>0.0107</v>
      </c>
      <c r="K39" s="53">
        <v>24.55</v>
      </c>
      <c r="L39" s="54">
        <v>0.2537</v>
      </c>
      <c r="M39" s="55" t="s">
        <v>41</v>
      </c>
      <c r="N39" s="38">
        <v>11</v>
      </c>
      <c r="O39" s="25">
        <v>4</v>
      </c>
      <c r="P39" s="25">
        <v>1</v>
      </c>
      <c r="Q39" s="25">
        <v>1</v>
      </c>
      <c r="R39" s="31">
        <v>0.363636363636364</v>
      </c>
      <c r="S39" s="31">
        <v>0.0909090909090909</v>
      </c>
      <c r="T39" s="31">
        <v>0.0909090909090909</v>
      </c>
      <c r="U39" s="50">
        <f t="shared" si="1"/>
        <v>38.305</v>
      </c>
    </row>
    <row r="40" ht="20" customHeight="1" spans="1:21">
      <c r="A40" s="51" t="s">
        <v>24</v>
      </c>
      <c r="B40" s="51" t="s">
        <v>237</v>
      </c>
      <c r="C40" s="51" t="s">
        <v>659</v>
      </c>
      <c r="D40" s="51" t="s">
        <v>25</v>
      </c>
      <c r="E40" s="52">
        <v>17</v>
      </c>
      <c r="F40" s="53">
        <v>262.42</v>
      </c>
      <c r="G40" s="53">
        <v>15.44</v>
      </c>
      <c r="H40" s="52">
        <v>12228</v>
      </c>
      <c r="I40" s="52">
        <v>142</v>
      </c>
      <c r="J40" s="54">
        <v>0.0116</v>
      </c>
      <c r="K40" s="53">
        <v>21.46</v>
      </c>
      <c r="L40" s="54">
        <v>0.1197</v>
      </c>
      <c r="M40" s="55" t="s">
        <v>661</v>
      </c>
      <c r="N40" s="38">
        <v>15</v>
      </c>
      <c r="O40" s="25">
        <v>4</v>
      </c>
      <c r="P40" s="25">
        <v>1</v>
      </c>
      <c r="Q40" s="25">
        <v>2</v>
      </c>
      <c r="R40" s="31">
        <v>0.266666666666667</v>
      </c>
      <c r="S40" s="31">
        <v>0.0666666666666667</v>
      </c>
      <c r="T40" s="31">
        <v>0.133333333333333</v>
      </c>
      <c r="U40" s="50">
        <f t="shared" si="1"/>
        <v>65.605</v>
      </c>
    </row>
    <row r="41" ht="20" customHeight="1" spans="1:21">
      <c r="A41" s="51" t="s">
        <v>24</v>
      </c>
      <c r="B41" s="51" t="s">
        <v>176</v>
      </c>
      <c r="C41" s="51" t="s">
        <v>659</v>
      </c>
      <c r="D41" s="51" t="s">
        <v>25</v>
      </c>
      <c r="E41" s="52">
        <v>14</v>
      </c>
      <c r="F41" s="53">
        <v>114.96</v>
      </c>
      <c r="G41" s="53">
        <v>8.21</v>
      </c>
      <c r="H41" s="52">
        <v>3432</v>
      </c>
      <c r="I41" s="52">
        <v>118</v>
      </c>
      <c r="J41" s="54">
        <v>0.0344</v>
      </c>
      <c r="K41" s="53">
        <v>33.5</v>
      </c>
      <c r="L41" s="54">
        <v>0.1186</v>
      </c>
      <c r="M41" s="55" t="s">
        <v>41</v>
      </c>
      <c r="N41" s="38">
        <v>17</v>
      </c>
      <c r="O41" s="25">
        <v>9</v>
      </c>
      <c r="P41" s="25">
        <v>5</v>
      </c>
      <c r="Q41" s="25">
        <v>1</v>
      </c>
      <c r="R41" s="31">
        <v>0.529411764705882</v>
      </c>
      <c r="S41" s="31">
        <v>0.294117647058823</v>
      </c>
      <c r="T41" s="31">
        <v>0.0588235294117647</v>
      </c>
      <c r="U41" s="50">
        <f t="shared" si="1"/>
        <v>12.7733333333333</v>
      </c>
    </row>
    <row r="42" ht="20" customHeight="1" spans="1:21">
      <c r="A42" s="51" t="s">
        <v>24</v>
      </c>
      <c r="B42" s="51" t="s">
        <v>277</v>
      </c>
      <c r="C42" s="51" t="s">
        <v>659</v>
      </c>
      <c r="D42" s="51" t="s">
        <v>25</v>
      </c>
      <c r="E42" s="52">
        <v>12</v>
      </c>
      <c r="F42" s="53">
        <v>100.78</v>
      </c>
      <c r="G42" s="53">
        <v>8.4</v>
      </c>
      <c r="H42" s="52">
        <v>4239</v>
      </c>
      <c r="I42" s="52">
        <v>52</v>
      </c>
      <c r="J42" s="54">
        <v>0.0123</v>
      </c>
      <c r="K42" s="53">
        <v>23.77</v>
      </c>
      <c r="L42" s="54">
        <v>0.2308</v>
      </c>
      <c r="M42" s="55" t="s">
        <v>41</v>
      </c>
      <c r="N42" s="38">
        <v>6</v>
      </c>
      <c r="O42" s="25">
        <v>2</v>
      </c>
      <c r="P42" s="25">
        <v>3</v>
      </c>
      <c r="Q42" s="25">
        <v>0</v>
      </c>
      <c r="R42" s="31">
        <v>0.333333333333333</v>
      </c>
      <c r="S42" s="31">
        <v>0.5</v>
      </c>
      <c r="T42" s="31">
        <v>0</v>
      </c>
      <c r="U42" s="50">
        <f t="shared" si="1"/>
        <v>50.39</v>
      </c>
    </row>
    <row r="43" ht="20" customHeight="1" spans="1:21">
      <c r="A43" s="51" t="s">
        <v>24</v>
      </c>
      <c r="B43" s="51" t="s">
        <v>212</v>
      </c>
      <c r="C43" s="51" t="s">
        <v>658</v>
      </c>
      <c r="D43" s="51" t="s">
        <v>25</v>
      </c>
      <c r="E43" s="52">
        <v>11</v>
      </c>
      <c r="F43" s="53">
        <v>156.68</v>
      </c>
      <c r="G43" s="53">
        <v>14.24</v>
      </c>
      <c r="H43" s="52">
        <v>7612</v>
      </c>
      <c r="I43" s="52">
        <v>102</v>
      </c>
      <c r="J43" s="54">
        <v>0.0134</v>
      </c>
      <c r="K43" s="53">
        <v>20.58</v>
      </c>
      <c r="L43" s="54">
        <v>0.1078</v>
      </c>
      <c r="M43" s="55" t="s">
        <v>41</v>
      </c>
      <c r="N43" s="38">
        <v>6</v>
      </c>
      <c r="O43" s="25">
        <v>2</v>
      </c>
      <c r="P43" s="25">
        <v>0</v>
      </c>
      <c r="Q43" s="25">
        <v>0</v>
      </c>
      <c r="R43" s="31">
        <v>0.333333333333333</v>
      </c>
      <c r="S43" s="31">
        <v>0</v>
      </c>
      <c r="T43" s="31">
        <v>0</v>
      </c>
      <c r="U43" s="50">
        <f t="shared" si="1"/>
        <v>78.34</v>
      </c>
    </row>
    <row r="44" ht="20" customHeight="1" spans="1:21">
      <c r="A44" s="51" t="s">
        <v>24</v>
      </c>
      <c r="B44" s="51" t="s">
        <v>158</v>
      </c>
      <c r="C44" s="51" t="s">
        <v>658</v>
      </c>
      <c r="D44" s="51" t="s">
        <v>25</v>
      </c>
      <c r="E44" s="52">
        <v>11</v>
      </c>
      <c r="F44" s="53">
        <v>76.26</v>
      </c>
      <c r="G44" s="53">
        <v>6.93</v>
      </c>
      <c r="H44" s="52">
        <v>5360</v>
      </c>
      <c r="I44" s="52">
        <v>60</v>
      </c>
      <c r="J44" s="54">
        <v>0.0112</v>
      </c>
      <c r="K44" s="53">
        <v>14.23</v>
      </c>
      <c r="L44" s="54">
        <v>0.1833</v>
      </c>
      <c r="M44" s="55" t="s">
        <v>41</v>
      </c>
      <c r="N44" s="38">
        <v>7</v>
      </c>
      <c r="O44" s="25">
        <v>1</v>
      </c>
      <c r="P44" s="25">
        <v>1</v>
      </c>
      <c r="Q44" s="25">
        <v>1</v>
      </c>
      <c r="R44" s="31">
        <v>0.142857142857143</v>
      </c>
      <c r="S44" s="31">
        <v>0.142857142857143</v>
      </c>
      <c r="T44" s="31">
        <v>0.142857142857143</v>
      </c>
      <c r="U44" s="50">
        <f t="shared" si="1"/>
        <v>76.26</v>
      </c>
    </row>
    <row r="45" ht="20" customHeight="1" spans="1:21">
      <c r="A45" s="51" t="s">
        <v>24</v>
      </c>
      <c r="B45" s="51" t="s">
        <v>272</v>
      </c>
      <c r="C45" s="51" t="s">
        <v>659</v>
      </c>
      <c r="D45" s="51" t="s">
        <v>25</v>
      </c>
      <c r="E45" s="52">
        <v>10</v>
      </c>
      <c r="F45" s="53">
        <v>192.73</v>
      </c>
      <c r="G45" s="53">
        <v>19.27</v>
      </c>
      <c r="H45" s="52">
        <v>6933</v>
      </c>
      <c r="I45" s="52">
        <v>132</v>
      </c>
      <c r="J45" s="54">
        <v>0.019</v>
      </c>
      <c r="K45" s="53">
        <v>27.8</v>
      </c>
      <c r="L45" s="54">
        <v>0.0758</v>
      </c>
      <c r="M45" s="55" t="s">
        <v>41</v>
      </c>
      <c r="N45" s="38">
        <v>11</v>
      </c>
      <c r="O45" s="25">
        <v>4</v>
      </c>
      <c r="P45" s="25">
        <v>1</v>
      </c>
      <c r="Q45" s="25">
        <v>2</v>
      </c>
      <c r="R45" s="31">
        <v>0.363636363636364</v>
      </c>
      <c r="S45" s="31">
        <v>0.0909090909090909</v>
      </c>
      <c r="T45" s="31">
        <v>0.181818181818182</v>
      </c>
      <c r="U45" s="50">
        <f t="shared" si="1"/>
        <v>48.1825</v>
      </c>
    </row>
    <row r="46" ht="20" customHeight="1" spans="1:21">
      <c r="A46" s="51" t="s">
        <v>24</v>
      </c>
      <c r="B46" s="51" t="s">
        <v>189</v>
      </c>
      <c r="C46" s="51" t="s">
        <v>659</v>
      </c>
      <c r="D46" s="51" t="s">
        <v>25</v>
      </c>
      <c r="E46" s="52">
        <v>9</v>
      </c>
      <c r="F46" s="53">
        <v>168.85</v>
      </c>
      <c r="G46" s="53">
        <v>18.76</v>
      </c>
      <c r="H46" s="52">
        <v>4335</v>
      </c>
      <c r="I46" s="52">
        <v>148</v>
      </c>
      <c r="J46" s="54">
        <v>0.0341</v>
      </c>
      <c r="K46" s="53">
        <v>38.95</v>
      </c>
      <c r="L46" s="54">
        <v>0.0608</v>
      </c>
      <c r="M46" s="55" t="s">
        <v>41</v>
      </c>
      <c r="N46" s="38">
        <v>8</v>
      </c>
      <c r="O46" s="25">
        <v>2</v>
      </c>
      <c r="P46" s="25">
        <v>0</v>
      </c>
      <c r="Q46" s="25">
        <v>0</v>
      </c>
      <c r="R46" s="31">
        <v>0.25</v>
      </c>
      <c r="S46" s="31">
        <v>0</v>
      </c>
      <c r="T46" s="31">
        <v>0</v>
      </c>
      <c r="U46" s="50">
        <f t="shared" si="1"/>
        <v>84.425</v>
      </c>
    </row>
    <row r="47" ht="20" customHeight="1" spans="1:21">
      <c r="A47" s="51" t="s">
        <v>24</v>
      </c>
      <c r="B47" s="51" t="s">
        <v>306</v>
      </c>
      <c r="C47" s="51" t="s">
        <v>658</v>
      </c>
      <c r="D47" s="51" t="s">
        <v>25</v>
      </c>
      <c r="E47" s="52">
        <v>7</v>
      </c>
      <c r="F47" s="53">
        <v>77.95</v>
      </c>
      <c r="G47" s="53">
        <v>11.14</v>
      </c>
      <c r="H47" s="52">
        <v>3518</v>
      </c>
      <c r="I47" s="52">
        <v>53</v>
      </c>
      <c r="J47" s="54">
        <v>0.0151</v>
      </c>
      <c r="K47" s="53">
        <v>22.16</v>
      </c>
      <c r="L47" s="54">
        <v>0.1321</v>
      </c>
      <c r="M47" s="55" t="s">
        <v>41</v>
      </c>
      <c r="N47" s="38">
        <v>5</v>
      </c>
      <c r="O47" s="25">
        <v>2</v>
      </c>
      <c r="P47" s="25">
        <v>0</v>
      </c>
      <c r="Q47" s="25">
        <v>0</v>
      </c>
      <c r="R47" s="31">
        <v>0.4</v>
      </c>
      <c r="S47" s="31">
        <v>0</v>
      </c>
      <c r="T47" s="31">
        <v>0</v>
      </c>
      <c r="U47" s="50">
        <f t="shared" si="1"/>
        <v>38.975</v>
      </c>
    </row>
    <row r="48" ht="20" customHeight="1" spans="1:21">
      <c r="A48" s="51" t="s">
        <v>24</v>
      </c>
      <c r="B48" s="51" t="s">
        <v>153</v>
      </c>
      <c r="C48" s="51" t="s">
        <v>659</v>
      </c>
      <c r="D48" s="51" t="s">
        <v>25</v>
      </c>
      <c r="E48" s="52">
        <v>6</v>
      </c>
      <c r="F48" s="53">
        <v>32.92</v>
      </c>
      <c r="G48" s="53">
        <v>5.49</v>
      </c>
      <c r="H48" s="52">
        <v>1741</v>
      </c>
      <c r="I48" s="52">
        <v>22</v>
      </c>
      <c r="J48" s="54">
        <v>0.0126</v>
      </c>
      <c r="K48" s="53">
        <v>18.91</v>
      </c>
      <c r="L48" s="54">
        <v>0.2727</v>
      </c>
      <c r="M48" s="55" t="s">
        <v>41</v>
      </c>
      <c r="N48" s="38">
        <v>6</v>
      </c>
      <c r="O48" s="25">
        <v>1</v>
      </c>
      <c r="P48" s="25">
        <v>0</v>
      </c>
      <c r="Q48" s="25">
        <v>2</v>
      </c>
      <c r="R48" s="31">
        <v>0.166666666666667</v>
      </c>
      <c r="S48" s="31">
        <v>0</v>
      </c>
      <c r="T48" s="31">
        <v>0.333333333333333</v>
      </c>
      <c r="U48" s="50">
        <f t="shared" si="1"/>
        <v>32.92</v>
      </c>
    </row>
    <row r="49" ht="20" customHeight="1" spans="1:21">
      <c r="A49" s="51" t="s">
        <v>24</v>
      </c>
      <c r="B49" s="51" t="s">
        <v>268</v>
      </c>
      <c r="C49" s="51" t="s">
        <v>659</v>
      </c>
      <c r="D49" s="51" t="s">
        <v>25</v>
      </c>
      <c r="E49" s="52">
        <v>6</v>
      </c>
      <c r="F49" s="53">
        <v>84.7</v>
      </c>
      <c r="G49" s="53">
        <v>14.12</v>
      </c>
      <c r="H49" s="52">
        <v>2631</v>
      </c>
      <c r="I49" s="52">
        <v>43</v>
      </c>
      <c r="J49" s="54">
        <v>0.0163</v>
      </c>
      <c r="K49" s="53">
        <v>32.19</v>
      </c>
      <c r="L49" s="54">
        <v>0.1395</v>
      </c>
      <c r="M49" s="55" t="s">
        <v>662</v>
      </c>
      <c r="N49" s="38">
        <v>7</v>
      </c>
      <c r="O49" s="25">
        <v>0</v>
      </c>
      <c r="P49" s="25">
        <v>1</v>
      </c>
      <c r="Q49" s="25">
        <v>1</v>
      </c>
      <c r="R49" s="61">
        <v>0</v>
      </c>
      <c r="S49" s="31">
        <v>0.142857142857143</v>
      </c>
      <c r="T49" s="31">
        <v>0.142857142857143</v>
      </c>
      <c r="U49" s="50" t="e">
        <f t="shared" si="1"/>
        <v>#DIV/0!</v>
      </c>
    </row>
    <row r="50" ht="20" customHeight="1" spans="1:21">
      <c r="A50" s="51" t="s">
        <v>24</v>
      </c>
      <c r="B50" s="51" t="s">
        <v>199</v>
      </c>
      <c r="C50" s="51" t="s">
        <v>659</v>
      </c>
      <c r="D50" s="51" t="s">
        <v>25</v>
      </c>
      <c r="E50" s="52">
        <v>5</v>
      </c>
      <c r="F50" s="53">
        <v>115.65</v>
      </c>
      <c r="G50" s="53">
        <v>23.13</v>
      </c>
      <c r="H50" s="52">
        <v>9077</v>
      </c>
      <c r="I50" s="52">
        <v>65</v>
      </c>
      <c r="J50" s="54">
        <v>0.0072</v>
      </c>
      <c r="K50" s="53">
        <v>12.74</v>
      </c>
      <c r="L50" s="54">
        <v>0.0769</v>
      </c>
      <c r="M50" s="55" t="s">
        <v>41</v>
      </c>
      <c r="N50" s="38">
        <v>3</v>
      </c>
      <c r="O50" s="25">
        <v>0</v>
      </c>
      <c r="P50" s="25">
        <v>0</v>
      </c>
      <c r="Q50" s="25">
        <v>0</v>
      </c>
      <c r="R50" s="31">
        <v>0</v>
      </c>
      <c r="S50" s="31">
        <v>0</v>
      </c>
      <c r="T50" s="31">
        <v>0</v>
      </c>
      <c r="U50" s="50" t="e">
        <f t="shared" si="1"/>
        <v>#DIV/0!</v>
      </c>
    </row>
    <row r="51" ht="20" customHeight="1" spans="1:21">
      <c r="A51" s="51" t="s">
        <v>24</v>
      </c>
      <c r="B51" s="51" t="s">
        <v>195</v>
      </c>
      <c r="C51" s="51" t="s">
        <v>659</v>
      </c>
      <c r="D51" s="51" t="s">
        <v>25</v>
      </c>
      <c r="E51" s="52">
        <v>5</v>
      </c>
      <c r="F51" s="53">
        <v>77.6</v>
      </c>
      <c r="G51" s="53">
        <v>15.52</v>
      </c>
      <c r="H51" s="52">
        <v>2380</v>
      </c>
      <c r="I51" s="52">
        <v>65</v>
      </c>
      <c r="J51" s="54">
        <v>0.0273</v>
      </c>
      <c r="K51" s="53">
        <v>32.61</v>
      </c>
      <c r="L51" s="54">
        <v>0.0769</v>
      </c>
      <c r="M51" s="55" t="s">
        <v>41</v>
      </c>
      <c r="N51" s="38">
        <v>5</v>
      </c>
      <c r="O51" s="25">
        <v>2</v>
      </c>
      <c r="P51" s="25">
        <v>0</v>
      </c>
      <c r="Q51" s="25">
        <v>0</v>
      </c>
      <c r="R51" s="31">
        <v>0.4</v>
      </c>
      <c r="S51" s="31">
        <v>0</v>
      </c>
      <c r="T51" s="31">
        <v>0</v>
      </c>
      <c r="U51" s="50">
        <f t="shared" si="1"/>
        <v>38.8</v>
      </c>
    </row>
    <row r="52" ht="20" customHeight="1" spans="1:21">
      <c r="A52" s="51" t="s">
        <v>24</v>
      </c>
      <c r="B52" s="51" t="s">
        <v>328</v>
      </c>
      <c r="C52" s="51" t="s">
        <v>659</v>
      </c>
      <c r="D52" s="51" t="s">
        <v>25</v>
      </c>
      <c r="E52" s="52">
        <v>5</v>
      </c>
      <c r="F52" s="53">
        <v>19.89</v>
      </c>
      <c r="G52" s="53">
        <v>3.98</v>
      </c>
      <c r="H52" s="52">
        <v>723</v>
      </c>
      <c r="I52" s="52">
        <v>32</v>
      </c>
      <c r="J52" s="54">
        <v>0.0443</v>
      </c>
      <c r="K52" s="53">
        <v>27.51</v>
      </c>
      <c r="L52" s="54">
        <v>0.1562</v>
      </c>
      <c r="M52" s="55" t="s">
        <v>41</v>
      </c>
      <c r="N52" s="38">
        <v>4</v>
      </c>
      <c r="O52" s="25">
        <v>2</v>
      </c>
      <c r="P52" s="25">
        <v>1</v>
      </c>
      <c r="Q52" s="25">
        <v>0</v>
      </c>
      <c r="R52" s="31">
        <v>0.5</v>
      </c>
      <c r="S52" s="31">
        <v>0.25</v>
      </c>
      <c r="T52" s="31">
        <v>0</v>
      </c>
      <c r="U52" s="50">
        <f t="shared" si="1"/>
        <v>9.945</v>
      </c>
    </row>
    <row r="53" ht="20" customHeight="1" spans="1:21">
      <c r="A53" s="51" t="s">
        <v>24</v>
      </c>
      <c r="B53" s="51" t="s">
        <v>344</v>
      </c>
      <c r="C53" s="51" t="s">
        <v>659</v>
      </c>
      <c r="D53" s="51" t="s">
        <v>25</v>
      </c>
      <c r="E53" s="52">
        <v>4</v>
      </c>
      <c r="F53" s="53">
        <v>34.18</v>
      </c>
      <c r="G53" s="53">
        <v>8.54</v>
      </c>
      <c r="H53" s="52">
        <v>1485</v>
      </c>
      <c r="I53" s="52">
        <v>46</v>
      </c>
      <c r="J53" s="54">
        <v>0.031</v>
      </c>
      <c r="K53" s="53">
        <v>23.02</v>
      </c>
      <c r="L53" s="54">
        <v>0.087</v>
      </c>
      <c r="M53" s="55" t="s">
        <v>41</v>
      </c>
      <c r="N53" s="38">
        <v>4</v>
      </c>
      <c r="O53" s="25">
        <v>1</v>
      </c>
      <c r="P53" s="25">
        <v>1</v>
      </c>
      <c r="Q53" s="25">
        <v>0</v>
      </c>
      <c r="R53" s="31">
        <v>0.25</v>
      </c>
      <c r="S53" s="31">
        <v>0.25</v>
      </c>
      <c r="T53" s="31">
        <v>0</v>
      </c>
      <c r="U53" s="50">
        <f t="shared" si="1"/>
        <v>34.18</v>
      </c>
    </row>
    <row r="54" ht="20" customHeight="1" spans="1:21">
      <c r="A54" s="51" t="s">
        <v>24</v>
      </c>
      <c r="B54" s="51" t="s">
        <v>338</v>
      </c>
      <c r="C54" s="51" t="s">
        <v>659</v>
      </c>
      <c r="D54" s="51" t="s">
        <v>25</v>
      </c>
      <c r="E54" s="52">
        <v>4</v>
      </c>
      <c r="F54" s="53">
        <v>24.95</v>
      </c>
      <c r="G54" s="53">
        <v>6.24</v>
      </c>
      <c r="H54" s="52">
        <v>954</v>
      </c>
      <c r="I54" s="52">
        <v>23</v>
      </c>
      <c r="J54" s="54">
        <v>0.0241</v>
      </c>
      <c r="K54" s="53">
        <v>26.15</v>
      </c>
      <c r="L54" s="54">
        <v>0.1739</v>
      </c>
      <c r="M54" s="55" t="s">
        <v>662</v>
      </c>
      <c r="N54" s="38">
        <v>4</v>
      </c>
      <c r="O54" s="25">
        <v>0</v>
      </c>
      <c r="P54" s="25">
        <v>1</v>
      </c>
      <c r="Q54" s="25">
        <v>1</v>
      </c>
      <c r="R54" s="61">
        <v>0</v>
      </c>
      <c r="S54" s="31">
        <v>0.25</v>
      </c>
      <c r="T54" s="31">
        <v>0.25</v>
      </c>
      <c r="U54" s="50" t="e">
        <f t="shared" si="1"/>
        <v>#DIV/0!</v>
      </c>
    </row>
    <row r="55" ht="20" customHeight="1" spans="1:21">
      <c r="A55" s="51" t="s">
        <v>24</v>
      </c>
      <c r="B55" s="51" t="s">
        <v>347</v>
      </c>
      <c r="C55" s="51" t="s">
        <v>659</v>
      </c>
      <c r="D55" s="51" t="s">
        <v>25</v>
      </c>
      <c r="E55" s="52">
        <v>3</v>
      </c>
      <c r="F55" s="53">
        <v>32.4</v>
      </c>
      <c r="G55" s="53">
        <v>10.8</v>
      </c>
      <c r="H55" s="52">
        <v>1523</v>
      </c>
      <c r="I55" s="52">
        <v>43</v>
      </c>
      <c r="J55" s="54">
        <v>0.0282</v>
      </c>
      <c r="K55" s="53">
        <v>21.27</v>
      </c>
      <c r="L55" s="54">
        <v>0.0698</v>
      </c>
      <c r="M55" s="55" t="s">
        <v>41</v>
      </c>
      <c r="N55" s="38">
        <v>3</v>
      </c>
      <c r="O55" s="25">
        <v>2</v>
      </c>
      <c r="P55" s="25">
        <v>1</v>
      </c>
      <c r="Q55" s="25">
        <v>1</v>
      </c>
      <c r="R55" s="31">
        <v>0.666666666666667</v>
      </c>
      <c r="S55" s="31">
        <v>0.333333333333333</v>
      </c>
      <c r="T55" s="31">
        <v>0.333333333333333</v>
      </c>
      <c r="U55" s="50">
        <f t="shared" si="1"/>
        <v>16.2</v>
      </c>
    </row>
    <row r="56" ht="20" customHeight="1" spans="1:21">
      <c r="A56" s="51" t="s">
        <v>24</v>
      </c>
      <c r="B56" s="51" t="s">
        <v>301</v>
      </c>
      <c r="C56" s="51" t="s">
        <v>658</v>
      </c>
      <c r="D56" s="51" t="s">
        <v>25</v>
      </c>
      <c r="E56" s="52">
        <v>2</v>
      </c>
      <c r="F56" s="53">
        <v>42.37</v>
      </c>
      <c r="G56" s="53">
        <v>21.19</v>
      </c>
      <c r="H56" s="52">
        <v>1575</v>
      </c>
      <c r="I56" s="52">
        <v>27</v>
      </c>
      <c r="J56" s="54">
        <v>0.0171</v>
      </c>
      <c r="K56" s="53">
        <v>26.9</v>
      </c>
      <c r="L56" s="54">
        <v>0.0741</v>
      </c>
      <c r="M56" s="55" t="s">
        <v>41</v>
      </c>
      <c r="N56" s="38">
        <v>1</v>
      </c>
      <c r="O56" s="25">
        <v>0</v>
      </c>
      <c r="P56" s="25">
        <v>0</v>
      </c>
      <c r="Q56" s="25">
        <v>0</v>
      </c>
      <c r="R56" s="31">
        <v>0</v>
      </c>
      <c r="S56" s="31">
        <v>0</v>
      </c>
      <c r="T56" s="31">
        <v>0</v>
      </c>
      <c r="U56" s="50" t="e">
        <f t="shared" si="1"/>
        <v>#DIV/0!</v>
      </c>
    </row>
    <row r="57" ht="4" customHeight="1" spans="1:21">
      <c r="A57" s="6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4"/>
      <c r="N57" s="25"/>
      <c r="O57" s="25"/>
      <c r="P57" s="25"/>
      <c r="Q57" s="25"/>
      <c r="R57" s="25"/>
      <c r="S57" s="25"/>
      <c r="T57" s="25"/>
      <c r="U57" s="25"/>
    </row>
    <row r="58" ht="20" customHeight="1" spans="1:21">
      <c r="A58" s="63" t="s">
        <v>72</v>
      </c>
      <c r="B58" s="63" t="s">
        <v>663</v>
      </c>
      <c r="C58" s="63" t="s">
        <v>664</v>
      </c>
      <c r="D58" s="63" t="s">
        <v>66</v>
      </c>
      <c r="E58" s="64">
        <v>176</v>
      </c>
      <c r="F58" s="65">
        <v>971.33</v>
      </c>
      <c r="G58" s="65">
        <v>5.52</v>
      </c>
      <c r="H58" s="64">
        <v>43586</v>
      </c>
      <c r="I58" s="64">
        <v>588</v>
      </c>
      <c r="J58" s="66">
        <v>0.0135</v>
      </c>
      <c r="K58" s="65">
        <v>22.29</v>
      </c>
      <c r="L58" s="66">
        <v>0.2993</v>
      </c>
      <c r="M58" s="67" t="s">
        <v>665</v>
      </c>
      <c r="N58" s="25" t="s">
        <v>666</v>
      </c>
      <c r="O58" s="25"/>
      <c r="P58" s="25"/>
      <c r="Q58" s="25"/>
      <c r="R58" s="25"/>
      <c r="S58" s="25"/>
      <c r="T58" s="25"/>
      <c r="U58" s="25"/>
    </row>
    <row r="59" ht="20" customHeight="1" spans="1:21">
      <c r="A59" s="63" t="s">
        <v>72</v>
      </c>
      <c r="B59" s="63" t="s">
        <v>667</v>
      </c>
      <c r="C59" s="63" t="s">
        <v>664</v>
      </c>
      <c r="D59" s="63" t="s">
        <v>25</v>
      </c>
      <c r="E59" s="64">
        <v>533</v>
      </c>
      <c r="F59" s="65">
        <v>2021.27</v>
      </c>
      <c r="G59" s="65">
        <v>3.79</v>
      </c>
      <c r="H59" s="64">
        <v>96720</v>
      </c>
      <c r="I59" s="64">
        <v>1858</v>
      </c>
      <c r="J59" s="66">
        <v>0.0192</v>
      </c>
      <c r="K59" s="65">
        <v>20.9</v>
      </c>
      <c r="L59" s="66">
        <v>0.2869</v>
      </c>
      <c r="M59" s="67" t="s">
        <v>668</v>
      </c>
      <c r="N59" s="25" t="s">
        <v>666</v>
      </c>
      <c r="O59" s="25"/>
      <c r="P59" s="25"/>
      <c r="Q59" s="25"/>
      <c r="R59" s="25"/>
      <c r="S59" s="25"/>
      <c r="T59" s="25"/>
      <c r="U59" s="25"/>
    </row>
    <row r="60" ht="20" customHeight="1" spans="1:21">
      <c r="A60" s="63" t="s">
        <v>24</v>
      </c>
      <c r="B60" s="63" t="s">
        <v>663</v>
      </c>
      <c r="C60" s="63" t="s">
        <v>664</v>
      </c>
      <c r="D60" s="63" t="s">
        <v>66</v>
      </c>
      <c r="E60" s="64">
        <v>325</v>
      </c>
      <c r="F60" s="65">
        <v>2737.83</v>
      </c>
      <c r="G60" s="65">
        <v>8.42</v>
      </c>
      <c r="H60" s="64">
        <v>103565</v>
      </c>
      <c r="I60" s="64">
        <v>1047</v>
      </c>
      <c r="J60" s="66">
        <v>0.0101</v>
      </c>
      <c r="K60" s="65">
        <v>26.44</v>
      </c>
      <c r="L60" s="66">
        <v>0.3104</v>
      </c>
      <c r="M60" s="67" t="s">
        <v>669</v>
      </c>
      <c r="N60" s="25" t="s">
        <v>666</v>
      </c>
      <c r="O60" s="25"/>
      <c r="P60" s="25"/>
      <c r="Q60" s="25"/>
      <c r="R60" s="25"/>
      <c r="S60" s="25"/>
      <c r="T60" s="25"/>
      <c r="U60" s="25"/>
    </row>
    <row r="61" ht="20" customHeight="1" spans="1:21">
      <c r="A61" s="63" t="s">
        <v>24</v>
      </c>
      <c r="B61" s="63" t="s">
        <v>667</v>
      </c>
      <c r="C61" s="63" t="s">
        <v>664</v>
      </c>
      <c r="D61" s="63" t="s">
        <v>25</v>
      </c>
      <c r="E61" s="64">
        <v>1388</v>
      </c>
      <c r="F61" s="65">
        <v>10174.48</v>
      </c>
      <c r="G61" s="65">
        <v>7.33</v>
      </c>
      <c r="H61" s="64">
        <v>519800</v>
      </c>
      <c r="I61" s="64">
        <v>8046</v>
      </c>
      <c r="J61" s="66">
        <v>0.0155</v>
      </c>
      <c r="K61" s="65">
        <v>19.57</v>
      </c>
      <c r="L61" s="66">
        <v>0.1725</v>
      </c>
      <c r="M61" s="67" t="s">
        <v>670</v>
      </c>
      <c r="N61" s="25" t="s">
        <v>666</v>
      </c>
      <c r="O61" s="25"/>
      <c r="P61" s="25"/>
      <c r="Q61" s="25"/>
      <c r="R61" s="25"/>
      <c r="S61" s="25"/>
      <c r="T61" s="25"/>
      <c r="U61" s="25"/>
    </row>
  </sheetData>
  <autoFilter xmlns:etc="http://www.wps.cn/officeDocument/2017/etCustomData" ref="A1:M61" etc:filterBottomFollowUsedRange="0">
    <extLst/>
  </autoFilter>
  <mergeCells count="3">
    <mergeCell ref="A2:M2"/>
    <mergeCell ref="A19:M19"/>
    <mergeCell ref="A57:M57"/>
  </mergeCells>
  <conditionalFormatting sqref="G2:G61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{c0114a9c-cc20-4330-9d9c-adcf570eb214}</x14:id>
        </ext>
      </extLst>
    </cfRule>
  </conditionalFormatting>
  <conditionalFormatting sqref="U3:U18 U20:U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{f55a05b1-538e-4c42-99b9-1647de25daae}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114a9c-cc20-4330-9d9c-adcf570eb21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G2:G61</xm:sqref>
        </x14:conditionalFormatting>
        <x14:conditionalFormatting xmlns:xm="http://schemas.microsoft.com/office/excel/2006/main">
          <x14:cfRule type="dataBar" id="{f55a05b1-538e-4c42-99b9-1647de25daa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U3:U18 U20:U56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W6" sqref="W6"/>
    </sheetView>
  </sheetViews>
  <sheetFormatPr defaultColWidth="9" defaultRowHeight="13.5" outlineLevelCol="1"/>
  <cols>
    <col min="1" max="1" width="18" customWidth="1"/>
    <col min="2" max="2" width="60" customWidth="1"/>
  </cols>
  <sheetData>
    <row r="1" ht="16.5" customHeight="1" spans="1:2">
      <c r="A1" s="19" t="s">
        <v>671</v>
      </c>
      <c r="B1" s="20" t="s">
        <v>672</v>
      </c>
    </row>
    <row r="2" ht="16.5" customHeight="1" spans="1:2">
      <c r="A2" s="19" t="s">
        <v>673</v>
      </c>
      <c r="B2" s="20" t="s">
        <v>674</v>
      </c>
    </row>
    <row r="3" ht="16.5" customHeight="1" spans="1:2">
      <c r="A3" s="19" t="s">
        <v>412</v>
      </c>
      <c r="B3" s="20" t="s">
        <v>412</v>
      </c>
    </row>
    <row r="4" ht="16.5" customHeight="1" spans="1:2">
      <c r="A4" s="19" t="s">
        <v>675</v>
      </c>
      <c r="B4" s="20" t="s">
        <v>676</v>
      </c>
    </row>
    <row r="5" ht="16.5" customHeight="1" spans="1:2">
      <c r="A5" s="19" t="s">
        <v>677</v>
      </c>
      <c r="B5" s="20" t="s">
        <v>678</v>
      </c>
    </row>
    <row r="6" ht="16.5" customHeight="1" spans="1:2">
      <c r="A6" s="19" t="s">
        <v>679</v>
      </c>
      <c r="B6" s="20" t="s">
        <v>680</v>
      </c>
    </row>
    <row r="7" ht="16.5" customHeight="1" spans="1:2">
      <c r="A7" s="19" t="s">
        <v>681</v>
      </c>
      <c r="B7" s="20" t="s">
        <v>682</v>
      </c>
    </row>
    <row r="8" ht="16.5" customHeight="1" spans="1:2">
      <c r="A8" s="19" t="s">
        <v>412</v>
      </c>
      <c r="B8" s="20" t="s">
        <v>412</v>
      </c>
    </row>
    <row r="9" ht="16.5" customHeight="1" spans="1:2">
      <c r="A9" s="19" t="s">
        <v>683</v>
      </c>
      <c r="B9" s="20" t="s">
        <v>684</v>
      </c>
    </row>
    <row r="10" ht="16.5" customHeight="1" spans="1:2">
      <c r="A10" s="19" t="s">
        <v>685</v>
      </c>
      <c r="B10" s="20" t="s">
        <v>686</v>
      </c>
    </row>
    <row r="11" ht="16.5" customHeight="1" spans="1:2">
      <c r="A11" s="19" t="s">
        <v>687</v>
      </c>
      <c r="B11" s="20" t="s">
        <v>688</v>
      </c>
    </row>
    <row r="12" ht="16.5" customHeight="1" spans="1:2">
      <c r="A12" s="19" t="s">
        <v>689</v>
      </c>
      <c r="B12" s="20" t="s">
        <v>690</v>
      </c>
    </row>
    <row r="13" ht="16.5" customHeight="1" spans="1:2">
      <c r="A13" s="19" t="s">
        <v>691</v>
      </c>
      <c r="B13" s="20" t="s">
        <v>692</v>
      </c>
    </row>
    <row r="15" spans="1:2">
      <c r="A15" t="s">
        <v>693</v>
      </c>
      <c r="B15" t="s">
        <v>694</v>
      </c>
    </row>
    <row r="16" spans="1:2">
      <c r="A16" t="s">
        <v>695</v>
      </c>
      <c r="B16" t="s">
        <v>696</v>
      </c>
    </row>
    <row r="17" spans="1:2">
      <c r="A17" t="s">
        <v>697</v>
      </c>
      <c r="B17" t="s">
        <v>698</v>
      </c>
    </row>
    <row r="18" spans="1:2">
      <c r="A18" t="s">
        <v>681</v>
      </c>
      <c r="B18" t="s">
        <v>699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workbookViewId="0">
      <pane ySplit="1" topLeftCell="A2" activePane="bottomLeft" state="frozen"/>
      <selection/>
      <selection pane="bottomLeft" activeCell="W6" sqref="W6"/>
    </sheetView>
  </sheetViews>
  <sheetFormatPr defaultColWidth="9" defaultRowHeight="13.5"/>
  <cols>
    <col min="1" max="1" width="18" customWidth="1"/>
    <col min="2" max="2" width="26" customWidth="1"/>
    <col min="3" max="3" width="12" customWidth="1"/>
    <col min="4" max="4" width="8" customWidth="1"/>
    <col min="5" max="8" width="10" customWidth="1"/>
    <col min="9" max="9" width="12" customWidth="1"/>
    <col min="10" max="10" width="28" customWidth="1"/>
    <col min="11" max="12" width="12" customWidth="1"/>
    <col min="13" max="13" width="14" customWidth="1"/>
  </cols>
  <sheetData>
    <row r="1" ht="18" customHeight="1" spans="1:13">
      <c r="A1" s="1" t="s">
        <v>700</v>
      </c>
    </row>
    <row r="2" spans="1:13">
      <c r="A2" s="2" t="s">
        <v>701</v>
      </c>
    </row>
    <row r="4" spans="1:13">
      <c r="A4" s="3" t="s">
        <v>2</v>
      </c>
      <c r="B4" s="3" t="s">
        <v>6</v>
      </c>
      <c r="C4" s="3" t="s">
        <v>702</v>
      </c>
      <c r="D4" s="3" t="s">
        <v>703</v>
      </c>
      <c r="E4" s="3" t="s">
        <v>704</v>
      </c>
      <c r="F4" s="3" t="s">
        <v>705</v>
      </c>
      <c r="G4" s="3" t="s">
        <v>706</v>
      </c>
      <c r="H4" s="3" t="s">
        <v>707</v>
      </c>
      <c r="I4" s="3" t="s">
        <v>708</v>
      </c>
      <c r="J4" s="3" t="s">
        <v>709</v>
      </c>
      <c r="K4" s="3" t="s">
        <v>710</v>
      </c>
      <c r="L4" s="3" t="s">
        <v>711</v>
      </c>
      <c r="M4" s="3" t="s">
        <v>712</v>
      </c>
    </row>
    <row r="5" spans="1:13">
      <c r="A5" s="4" t="s">
        <v>333</v>
      </c>
      <c r="B5" s="5" t="s">
        <v>66</v>
      </c>
      <c r="C5" s="6">
        <v>5.45</v>
      </c>
      <c r="D5" s="7">
        <v>0.385964912280702</v>
      </c>
      <c r="E5" s="7">
        <v>0.12280701754386</v>
      </c>
      <c r="F5" s="8">
        <v>57</v>
      </c>
      <c r="G5" s="6">
        <v>8.42</v>
      </c>
      <c r="H5" s="7">
        <v>0.350649350649351</v>
      </c>
      <c r="I5" s="7">
        <v>0.12987012987013</v>
      </c>
      <c r="J5" s="8">
        <v>77</v>
      </c>
      <c r="K5" s="7">
        <v>-0.035315561631351</v>
      </c>
      <c r="L5" s="7">
        <v>0.00706311232626999</v>
      </c>
      <c r="M5" s="9">
        <v>2.97</v>
      </c>
    </row>
    <row r="6" spans="1:13">
      <c r="A6" s="4" t="s">
        <v>280</v>
      </c>
      <c r="B6" s="5" t="s">
        <v>66</v>
      </c>
      <c r="C6" s="6">
        <v>5.27</v>
      </c>
      <c r="D6" s="7">
        <v>0.379310344827586</v>
      </c>
      <c r="E6" s="7">
        <v>0.172413793103448</v>
      </c>
      <c r="F6" s="8">
        <v>58</v>
      </c>
      <c r="G6" s="6">
        <v>8.38</v>
      </c>
      <c r="H6" s="7">
        <v>0.28125</v>
      </c>
      <c r="I6" s="7">
        <v>0.125</v>
      </c>
      <c r="J6" s="8">
        <v>128</v>
      </c>
      <c r="K6" s="10">
        <v>-0.098060344827586</v>
      </c>
      <c r="L6" s="7">
        <v>-0.047413793103448</v>
      </c>
      <c r="M6" s="9">
        <v>3.11</v>
      </c>
    </row>
    <row r="7" spans="1:13">
      <c r="A7" s="4" t="s">
        <v>333</v>
      </c>
      <c r="B7" s="5" t="s">
        <v>25</v>
      </c>
      <c r="C7" s="6">
        <v>3.51</v>
      </c>
      <c r="D7" s="7">
        <v>0.266666666666667</v>
      </c>
      <c r="E7" s="7">
        <v>0.111111111111111</v>
      </c>
      <c r="F7" s="8">
        <v>45</v>
      </c>
      <c r="G7" s="6">
        <v>4.98</v>
      </c>
      <c r="H7" s="7">
        <v>0.207792207792208</v>
      </c>
      <c r="I7" s="7">
        <v>0.0649350649350649</v>
      </c>
      <c r="J7" s="8">
        <v>77</v>
      </c>
      <c r="K7" s="10">
        <v>-0.058874458874459</v>
      </c>
      <c r="L7" s="7">
        <v>-0.0461760461760461</v>
      </c>
      <c r="M7" s="9">
        <v>1.47</v>
      </c>
    </row>
    <row r="8" spans="1:13">
      <c r="A8" s="4" t="s">
        <v>280</v>
      </c>
      <c r="B8" s="5" t="s">
        <v>25</v>
      </c>
      <c r="C8" s="6">
        <v>3.43</v>
      </c>
      <c r="D8" s="7">
        <v>0.244444444444444</v>
      </c>
      <c r="E8" s="7">
        <v>0.0444444444444445</v>
      </c>
      <c r="F8" s="8">
        <v>45</v>
      </c>
      <c r="G8" s="6">
        <v>8.7</v>
      </c>
      <c r="H8" s="7">
        <v>0.263157894736842</v>
      </c>
      <c r="I8" s="7">
        <v>0.105263157894737</v>
      </c>
      <c r="J8" s="8">
        <v>95</v>
      </c>
      <c r="K8" s="11">
        <v>0.018713450292398</v>
      </c>
      <c r="L8" s="7">
        <v>0.0608187134502925</v>
      </c>
      <c r="M8" s="9">
        <v>5.27</v>
      </c>
    </row>
    <row r="10" ht="15.75" customHeight="1" spans="1:13">
      <c r="A10" s="12" t="s">
        <v>713</v>
      </c>
    </row>
    <row r="11" spans="1:13">
      <c r="A11" s="3" t="s">
        <v>2</v>
      </c>
      <c r="B11" s="3" t="s">
        <v>6</v>
      </c>
      <c r="C11" s="3" t="s">
        <v>702</v>
      </c>
      <c r="D11" s="3" t="s">
        <v>703</v>
      </c>
      <c r="E11" s="3" t="s">
        <v>704</v>
      </c>
      <c r="F11" s="3" t="s">
        <v>705</v>
      </c>
      <c r="G11" s="3" t="s">
        <v>706</v>
      </c>
      <c r="H11" s="3" t="s">
        <v>707</v>
      </c>
      <c r="I11" s="3" t="s">
        <v>708</v>
      </c>
      <c r="J11" s="3" t="s">
        <v>709</v>
      </c>
      <c r="K11" s="3" t="s">
        <v>710</v>
      </c>
      <c r="L11" s="3" t="s">
        <v>711</v>
      </c>
      <c r="M11" s="3" t="s">
        <v>714</v>
      </c>
    </row>
    <row r="12" spans="1:13">
      <c r="A12" s="13" t="s">
        <v>280</v>
      </c>
      <c r="B12" s="5" t="s">
        <v>66</v>
      </c>
      <c r="C12" s="6">
        <v>5.27</v>
      </c>
      <c r="D12" s="7">
        <v>0.379310344827586</v>
      </c>
      <c r="E12" s="7">
        <v>0.172413793103448</v>
      </c>
      <c r="F12" s="8">
        <v>58</v>
      </c>
      <c r="G12" s="6">
        <v>8.38</v>
      </c>
      <c r="H12" s="7">
        <v>0.28125</v>
      </c>
      <c r="I12" s="7">
        <v>0.125</v>
      </c>
      <c r="J12" s="8">
        <v>128</v>
      </c>
      <c r="K12" s="7">
        <v>-0.098060344827586</v>
      </c>
      <c r="L12" s="7">
        <v>-0.047413793103448</v>
      </c>
      <c r="M12" s="5" t="s">
        <v>715</v>
      </c>
    </row>
    <row r="13" spans="1:13">
      <c r="A13" s="13" t="s">
        <v>280</v>
      </c>
      <c r="B13" s="5" t="s">
        <v>25</v>
      </c>
      <c r="C13" s="6">
        <v>3.43</v>
      </c>
      <c r="D13" s="7">
        <v>0.244444444444444</v>
      </c>
      <c r="E13" s="7">
        <v>0.0444444444444445</v>
      </c>
      <c r="F13" s="8">
        <v>45</v>
      </c>
      <c r="G13" s="6">
        <v>8.7</v>
      </c>
      <c r="H13" s="7">
        <v>0.263157894736842</v>
      </c>
      <c r="I13" s="7">
        <v>0.105263157894737</v>
      </c>
      <c r="J13" s="8">
        <v>95</v>
      </c>
      <c r="K13" s="7">
        <v>0.018713450292398</v>
      </c>
      <c r="L13" s="7">
        <v>0.0608187134502925</v>
      </c>
      <c r="M13" s="5" t="s">
        <v>715</v>
      </c>
    </row>
    <row r="14" spans="1:13">
      <c r="A14" s="13" t="s">
        <v>333</v>
      </c>
      <c r="B14" s="5" t="s">
        <v>66</v>
      </c>
      <c r="C14" s="6">
        <v>5.45</v>
      </c>
      <c r="D14" s="7">
        <v>0.385964912280702</v>
      </c>
      <c r="E14" s="7">
        <v>0.12280701754386</v>
      </c>
      <c r="F14" s="8">
        <v>57</v>
      </c>
      <c r="G14" s="6">
        <v>8.42</v>
      </c>
      <c r="H14" s="7">
        <v>0.350649350649351</v>
      </c>
      <c r="I14" s="7">
        <v>0.12987012987013</v>
      </c>
      <c r="J14" s="8">
        <v>77</v>
      </c>
      <c r="K14" s="7">
        <v>-0.035315561631351</v>
      </c>
      <c r="L14" s="7">
        <v>0.00706311232626999</v>
      </c>
      <c r="M14" s="5" t="s">
        <v>715</v>
      </c>
    </row>
    <row r="15" spans="1:13">
      <c r="A15" s="13" t="s">
        <v>333</v>
      </c>
      <c r="B15" s="5" t="s">
        <v>25</v>
      </c>
      <c r="C15" s="6">
        <v>3.51</v>
      </c>
      <c r="D15" s="7">
        <v>0.266666666666667</v>
      </c>
      <c r="E15" s="7">
        <v>0.111111111111111</v>
      </c>
      <c r="F15" s="8">
        <v>45</v>
      </c>
      <c r="G15" s="6">
        <v>4.98</v>
      </c>
      <c r="H15" s="7">
        <v>0.207792207792208</v>
      </c>
      <c r="I15" s="7">
        <v>0.0649350649350649</v>
      </c>
      <c r="J15" s="8">
        <v>77</v>
      </c>
      <c r="K15" s="7">
        <v>-0.058874458874459</v>
      </c>
      <c r="L15" s="7">
        <v>-0.0461760461760461</v>
      </c>
      <c r="M15" s="5" t="s">
        <v>715</v>
      </c>
    </row>
    <row r="16" spans="1:13">
      <c r="A16" s="14" t="s">
        <v>369</v>
      </c>
      <c r="B16" s="5" t="s">
        <v>66</v>
      </c>
      <c r="C16" s="6">
        <v>15.44</v>
      </c>
      <c r="D16" s="7">
        <v>1</v>
      </c>
      <c r="E16" s="7">
        <v>0</v>
      </c>
      <c r="F16" s="8">
        <v>1</v>
      </c>
      <c r="G16" s="6">
        <v>8.89</v>
      </c>
      <c r="H16" s="7">
        <v>0.5</v>
      </c>
      <c r="I16" s="7">
        <v>0.166666666666667</v>
      </c>
      <c r="J16" s="8">
        <v>12</v>
      </c>
      <c r="K16" s="7">
        <v>-0.5</v>
      </c>
      <c r="L16" s="7">
        <v>0.166666666666667</v>
      </c>
      <c r="M16" s="5" t="s">
        <v>716</v>
      </c>
    </row>
    <row r="17" spans="1:13">
      <c r="A17" s="15" t="s">
        <v>369</v>
      </c>
      <c r="B17" s="5" t="s">
        <v>25</v>
      </c>
      <c r="C17" s="6">
        <v>3.18</v>
      </c>
      <c r="D17" s="7">
        <v>0.315789473684211</v>
      </c>
      <c r="E17" s="7">
        <v>0.131578947368421</v>
      </c>
      <c r="F17" s="8">
        <v>76</v>
      </c>
      <c r="G17" s="6">
        <v>5.6</v>
      </c>
      <c r="H17" s="7">
        <v>0.166666666666667</v>
      </c>
      <c r="I17" s="7">
        <v>0.0833333333333333</v>
      </c>
      <c r="J17" s="8">
        <v>24</v>
      </c>
      <c r="K17" s="7">
        <v>-0.149122807017544</v>
      </c>
      <c r="L17" s="7">
        <v>-0.0482456140350877</v>
      </c>
      <c r="M17" s="5" t="s">
        <v>717</v>
      </c>
    </row>
    <row r="18" spans="1:13">
      <c r="A18" s="15" t="s">
        <v>237</v>
      </c>
      <c r="B18" s="5" t="s">
        <v>66</v>
      </c>
      <c r="C18" s="6">
        <v>8.07</v>
      </c>
      <c r="D18" s="7">
        <v>0.5</v>
      </c>
      <c r="E18" s="7">
        <v>0</v>
      </c>
      <c r="F18" s="8">
        <v>2</v>
      </c>
      <c r="G18" s="6">
        <v>8.15</v>
      </c>
      <c r="H18" s="7">
        <v>0.285714285714286</v>
      </c>
      <c r="I18" s="7">
        <v>0.0952380952380952</v>
      </c>
      <c r="J18" s="8">
        <v>21</v>
      </c>
      <c r="K18" s="7">
        <v>-0.214285714285714</v>
      </c>
      <c r="L18" s="7">
        <v>0.0952380952380952</v>
      </c>
      <c r="M18" s="5" t="s">
        <v>717</v>
      </c>
    </row>
    <row r="19" spans="1:13">
      <c r="A19" s="15" t="s">
        <v>237</v>
      </c>
      <c r="B19" s="5" t="s">
        <v>25</v>
      </c>
      <c r="C19" s="6">
        <v>3.77</v>
      </c>
      <c r="D19" s="7">
        <v>0.339622641509434</v>
      </c>
      <c r="E19" s="7">
        <v>0.113207547169811</v>
      </c>
      <c r="F19" s="8">
        <v>53</v>
      </c>
      <c r="G19" s="6">
        <v>15.44</v>
      </c>
      <c r="H19" s="7">
        <v>0.266666666666667</v>
      </c>
      <c r="I19" s="7">
        <v>0.133333333333333</v>
      </c>
      <c r="J19" s="8">
        <v>15</v>
      </c>
      <c r="K19" s="7">
        <v>-0.072955974842767</v>
      </c>
      <c r="L19" s="7">
        <v>0.020125786163522</v>
      </c>
      <c r="M19" s="5" t="s">
        <v>717</v>
      </c>
    </row>
    <row r="20" spans="1:13">
      <c r="A20" s="14" t="s">
        <v>347</v>
      </c>
      <c r="B20" s="5" t="s">
        <v>66</v>
      </c>
      <c r="C20" s="6">
        <v>6.07</v>
      </c>
      <c r="D20" s="7">
        <v>0.2</v>
      </c>
      <c r="E20" s="7">
        <v>0.2</v>
      </c>
      <c r="F20" s="8">
        <v>5</v>
      </c>
      <c r="G20" s="6">
        <v>9.59</v>
      </c>
      <c r="H20" s="7">
        <v>0.25</v>
      </c>
      <c r="I20" s="7">
        <v>0</v>
      </c>
      <c r="J20" s="8">
        <v>4</v>
      </c>
      <c r="K20" s="7">
        <v>0.05</v>
      </c>
      <c r="L20" s="7">
        <v>-0.2</v>
      </c>
      <c r="M20" s="5" t="s">
        <v>716</v>
      </c>
    </row>
    <row r="21" spans="1:13">
      <c r="A21" s="15" t="s">
        <v>347</v>
      </c>
      <c r="B21" s="5" t="s">
        <v>25</v>
      </c>
      <c r="C21" s="6">
        <v>3.52</v>
      </c>
      <c r="D21" s="7">
        <v>0.407407407407407</v>
      </c>
      <c r="E21" s="7">
        <v>0.0740740740740741</v>
      </c>
      <c r="F21" s="8">
        <v>54</v>
      </c>
      <c r="G21" s="6">
        <v>10.8</v>
      </c>
      <c r="H21" s="7">
        <v>0.666666666666667</v>
      </c>
      <c r="I21" s="7">
        <v>0.333333333333333</v>
      </c>
      <c r="J21" s="8">
        <v>3</v>
      </c>
      <c r="K21" s="7">
        <v>0.25925925925926</v>
      </c>
      <c r="L21" s="7">
        <v>0.259259259259259</v>
      </c>
      <c r="M21" s="5" t="s">
        <v>717</v>
      </c>
    </row>
    <row r="22" spans="1:13">
      <c r="A22" s="15" t="s">
        <v>344</v>
      </c>
      <c r="B22" s="5" t="s">
        <v>25</v>
      </c>
      <c r="C22" s="6">
        <v>5.68</v>
      </c>
      <c r="D22" s="7">
        <v>0.375</v>
      </c>
      <c r="E22" s="7">
        <v>0.21875</v>
      </c>
      <c r="F22" s="8">
        <v>32</v>
      </c>
      <c r="G22" s="6">
        <v>8.54</v>
      </c>
      <c r="H22" s="7">
        <v>0.25</v>
      </c>
      <c r="I22" s="7">
        <v>0</v>
      </c>
      <c r="J22" s="8">
        <v>4</v>
      </c>
      <c r="K22" s="7">
        <v>-0.125</v>
      </c>
      <c r="L22" s="7">
        <v>-0.21875</v>
      </c>
      <c r="M22" s="5" t="s">
        <v>717</v>
      </c>
    </row>
    <row r="25" ht="18" customHeight="1" spans="1:13">
      <c r="A25" s="1" t="s">
        <v>718</v>
      </c>
    </row>
    <row r="26" spans="1:13">
      <c r="A26" s="2" t="s">
        <v>719</v>
      </c>
    </row>
    <row r="28" ht="15.75" customHeight="1" spans="1:13">
      <c r="A28" s="12" t="s">
        <v>720</v>
      </c>
    </row>
    <row r="29" spans="1:13">
      <c r="A29" s="3" t="s">
        <v>721</v>
      </c>
      <c r="B29" s="3" t="s">
        <v>2</v>
      </c>
      <c r="C29" s="3" t="s">
        <v>6</v>
      </c>
      <c r="D29" s="3" t="s">
        <v>5</v>
      </c>
      <c r="E29" s="3" t="s">
        <v>9</v>
      </c>
      <c r="F29" s="3" t="s">
        <v>10</v>
      </c>
      <c r="G29" s="3" t="s">
        <v>11</v>
      </c>
      <c r="H29" s="3" t="s">
        <v>7</v>
      </c>
      <c r="I29" s="3" t="s">
        <v>578</v>
      </c>
      <c r="J29" s="3" t="s">
        <v>324</v>
      </c>
    </row>
    <row r="30" spans="1:13">
      <c r="A30" s="13">
        <v>1</v>
      </c>
      <c r="B30" s="16" t="s">
        <v>176</v>
      </c>
      <c r="C30" s="16" t="s">
        <v>25</v>
      </c>
      <c r="D30" s="16" t="s">
        <v>24</v>
      </c>
      <c r="E30" s="11">
        <v>0.529411764705882</v>
      </c>
      <c r="F30" s="11">
        <v>0.294117647058823</v>
      </c>
      <c r="G30" s="11">
        <v>0.0588235294117647</v>
      </c>
      <c r="H30" s="17">
        <v>17</v>
      </c>
      <c r="I30" s="18">
        <v>8.21</v>
      </c>
      <c r="J30" s="16" t="s">
        <v>722</v>
      </c>
    </row>
    <row r="31" spans="1:13">
      <c r="A31" s="13">
        <v>2</v>
      </c>
      <c r="B31" s="16" t="s">
        <v>369</v>
      </c>
      <c r="C31" s="16" t="s">
        <v>66</v>
      </c>
      <c r="D31" s="16" t="s">
        <v>24</v>
      </c>
      <c r="E31" s="11">
        <v>0.5</v>
      </c>
      <c r="F31" s="11">
        <v>0.25</v>
      </c>
      <c r="G31" s="11">
        <v>0.166666666666667</v>
      </c>
      <c r="H31" s="17">
        <v>12</v>
      </c>
      <c r="I31" s="18">
        <v>8.89</v>
      </c>
      <c r="J31" s="16" t="s">
        <v>723</v>
      </c>
    </row>
    <row r="32" spans="1:13">
      <c r="A32" s="13">
        <v>3</v>
      </c>
      <c r="B32" s="16" t="s">
        <v>217</v>
      </c>
      <c r="C32" s="16" t="s">
        <v>25</v>
      </c>
      <c r="D32" s="16" t="s">
        <v>72</v>
      </c>
      <c r="E32" s="11">
        <v>0.444444444444444</v>
      </c>
      <c r="F32" s="11">
        <v>0.333333333333333</v>
      </c>
      <c r="G32" s="11">
        <v>0.333333333333333</v>
      </c>
      <c r="H32" s="17">
        <v>9</v>
      </c>
      <c r="I32" s="18">
        <v>4.13</v>
      </c>
      <c r="J32" s="16" t="s">
        <v>724</v>
      </c>
    </row>
    <row r="33" spans="1:10">
      <c r="A33" s="4">
        <v>4</v>
      </c>
      <c r="B33" s="5" t="s">
        <v>306</v>
      </c>
      <c r="C33" s="5" t="s">
        <v>25</v>
      </c>
      <c r="D33" s="5" t="s">
        <v>24</v>
      </c>
      <c r="E33" s="7">
        <v>0.4</v>
      </c>
      <c r="F33" s="7">
        <v>0</v>
      </c>
      <c r="G33" s="7">
        <v>0</v>
      </c>
      <c r="H33" s="8">
        <v>5</v>
      </c>
      <c r="I33" s="6">
        <v>11.14</v>
      </c>
      <c r="J33" s="5" t="s">
        <v>725</v>
      </c>
    </row>
    <row r="34" spans="1:10">
      <c r="A34" s="4">
        <v>5</v>
      </c>
      <c r="B34" s="5" t="s">
        <v>195</v>
      </c>
      <c r="C34" s="5" t="s">
        <v>25</v>
      </c>
      <c r="D34" s="5" t="s">
        <v>24</v>
      </c>
      <c r="E34" s="7">
        <v>0.4</v>
      </c>
      <c r="F34" s="7">
        <v>0</v>
      </c>
      <c r="G34" s="7">
        <v>0</v>
      </c>
      <c r="H34" s="8">
        <v>5</v>
      </c>
      <c r="I34" s="6">
        <v>15.52</v>
      </c>
      <c r="J34" s="5" t="s">
        <v>726</v>
      </c>
    </row>
    <row r="36" ht="15.75" customHeight="1" spans="1:10">
      <c r="A36" s="12" t="s">
        <v>727</v>
      </c>
    </row>
    <row r="37" spans="1:10">
      <c r="A37" s="3" t="s">
        <v>721</v>
      </c>
      <c r="B37" s="3" t="s">
        <v>2</v>
      </c>
      <c r="C37" s="3" t="s">
        <v>6</v>
      </c>
      <c r="D37" s="3" t="s">
        <v>5</v>
      </c>
      <c r="E37" s="3" t="s">
        <v>9</v>
      </c>
      <c r="F37" s="3" t="s">
        <v>10</v>
      </c>
      <c r="G37" s="3" t="s">
        <v>11</v>
      </c>
      <c r="H37" s="3" t="s">
        <v>7</v>
      </c>
      <c r="I37" s="3" t="s">
        <v>578</v>
      </c>
      <c r="J37" s="3" t="s">
        <v>324</v>
      </c>
    </row>
    <row r="38" ht="24.75" customHeight="1" spans="1:10">
      <c r="A38" s="13">
        <v>1</v>
      </c>
      <c r="B38" s="16" t="s">
        <v>217</v>
      </c>
      <c r="C38" s="16" t="s">
        <v>25</v>
      </c>
      <c r="D38" s="16" t="s">
        <v>72</v>
      </c>
      <c r="E38" s="11">
        <v>0.444444444444444</v>
      </c>
      <c r="F38" s="11">
        <v>0.333333333333333</v>
      </c>
      <c r="G38" s="11">
        <v>0.333333333333333</v>
      </c>
      <c r="H38" s="17">
        <v>9</v>
      </c>
      <c r="I38" s="18">
        <v>4.13</v>
      </c>
      <c r="J38" s="16" t="s">
        <v>728</v>
      </c>
    </row>
    <row r="39" spans="1:10">
      <c r="A39" s="13">
        <v>2</v>
      </c>
      <c r="B39" s="16" t="s">
        <v>153</v>
      </c>
      <c r="C39" s="16" t="s">
        <v>25</v>
      </c>
      <c r="D39" s="16" t="s">
        <v>24</v>
      </c>
      <c r="E39" s="11">
        <v>0.166666666666667</v>
      </c>
      <c r="F39" s="11">
        <v>0</v>
      </c>
      <c r="G39" s="11">
        <v>0.333333333333333</v>
      </c>
      <c r="H39" s="17">
        <v>6</v>
      </c>
      <c r="I39" s="18">
        <v>5.49</v>
      </c>
      <c r="J39" s="16" t="s">
        <v>729</v>
      </c>
    </row>
    <row r="40" spans="1:10">
      <c r="A40" s="4">
        <v>3</v>
      </c>
      <c r="B40" s="5" t="s">
        <v>347</v>
      </c>
      <c r="C40" s="5" t="s">
        <v>66</v>
      </c>
      <c r="D40" s="5" t="s">
        <v>72</v>
      </c>
      <c r="E40" s="7">
        <v>0.2</v>
      </c>
      <c r="F40" s="7">
        <v>0.4</v>
      </c>
      <c r="G40" s="7">
        <v>0.2</v>
      </c>
      <c r="H40" s="8">
        <v>5</v>
      </c>
      <c r="I40" s="6">
        <v>6.07</v>
      </c>
      <c r="J40" s="5" t="s">
        <v>730</v>
      </c>
    </row>
    <row r="41" spans="1:10">
      <c r="A41" s="4">
        <v>4</v>
      </c>
      <c r="B41" s="5" t="s">
        <v>272</v>
      </c>
      <c r="C41" s="5" t="s">
        <v>25</v>
      </c>
      <c r="D41" s="5" t="s">
        <v>24</v>
      </c>
      <c r="E41" s="7">
        <v>0.363636363636364</v>
      </c>
      <c r="F41" s="7">
        <v>0.0909090909090909</v>
      </c>
      <c r="G41" s="7">
        <v>0.181818181818182</v>
      </c>
      <c r="H41" s="8">
        <v>11</v>
      </c>
      <c r="I41" s="6">
        <v>19.27</v>
      </c>
      <c r="J41" s="5" t="s">
        <v>731</v>
      </c>
    </row>
    <row r="42" spans="1:10">
      <c r="A42" s="4">
        <v>5</v>
      </c>
      <c r="B42" s="5" t="s">
        <v>309</v>
      </c>
      <c r="C42" s="5" t="s">
        <v>66</v>
      </c>
      <c r="D42" s="5" t="s">
        <v>72</v>
      </c>
      <c r="E42" s="7">
        <v>0.166666666666667</v>
      </c>
      <c r="F42" s="7">
        <v>0</v>
      </c>
      <c r="G42" s="7">
        <v>0.166666666666667</v>
      </c>
      <c r="H42" s="8">
        <v>6</v>
      </c>
      <c r="I42" s="6">
        <v>5.66</v>
      </c>
      <c r="J42" s="5" t="s">
        <v>732</v>
      </c>
    </row>
    <row r="44" ht="15.75" customHeight="1" spans="1:10">
      <c r="A44" s="12" t="s">
        <v>733</v>
      </c>
    </row>
    <row r="45" spans="1:10">
      <c r="A45" s="3" t="s">
        <v>721</v>
      </c>
      <c r="B45" s="3" t="s">
        <v>2</v>
      </c>
      <c r="C45" s="3" t="s">
        <v>6</v>
      </c>
      <c r="D45" s="3" t="s">
        <v>5</v>
      </c>
      <c r="E45" s="3" t="s">
        <v>9</v>
      </c>
      <c r="F45" s="3" t="s">
        <v>10</v>
      </c>
      <c r="G45" s="3" t="s">
        <v>11</v>
      </c>
      <c r="H45" s="3" t="s">
        <v>7</v>
      </c>
      <c r="I45" s="3" t="s">
        <v>578</v>
      </c>
      <c r="J45" s="3" t="s">
        <v>734</v>
      </c>
    </row>
    <row r="46" spans="1:10">
      <c r="A46" s="13">
        <v>1</v>
      </c>
      <c r="B46" s="16" t="s">
        <v>217</v>
      </c>
      <c r="C46" s="16" t="s">
        <v>25</v>
      </c>
      <c r="D46" s="16" t="s">
        <v>72</v>
      </c>
      <c r="E46" s="11">
        <v>0.444444444444444</v>
      </c>
      <c r="F46" s="11">
        <v>0.333333333333333</v>
      </c>
      <c r="G46" s="11">
        <v>0.333333333333333</v>
      </c>
      <c r="H46" s="17">
        <v>9</v>
      </c>
      <c r="I46" s="18">
        <v>4.13</v>
      </c>
      <c r="J46" s="11">
        <v>0.388888888888889</v>
      </c>
    </row>
    <row r="47" spans="1:10">
      <c r="A47" s="13">
        <v>2</v>
      </c>
      <c r="B47" s="16" t="s">
        <v>369</v>
      </c>
      <c r="C47" s="16" t="s">
        <v>66</v>
      </c>
      <c r="D47" s="16" t="s">
        <v>24</v>
      </c>
      <c r="E47" s="11">
        <v>0.5</v>
      </c>
      <c r="F47" s="11">
        <v>0.25</v>
      </c>
      <c r="G47" s="11">
        <v>0.166666666666667</v>
      </c>
      <c r="H47" s="17">
        <v>12</v>
      </c>
      <c r="I47" s="18">
        <v>8.89</v>
      </c>
      <c r="J47" s="11">
        <v>0.333333333333333</v>
      </c>
    </row>
    <row r="48" spans="1:10">
      <c r="A48" s="4">
        <v>3</v>
      </c>
      <c r="B48" s="5" t="s">
        <v>176</v>
      </c>
      <c r="C48" s="5" t="s">
        <v>25</v>
      </c>
      <c r="D48" s="5" t="s">
        <v>24</v>
      </c>
      <c r="E48" s="7">
        <v>0.529411764705882</v>
      </c>
      <c r="F48" s="7">
        <v>0.294117647058823</v>
      </c>
      <c r="G48" s="7">
        <v>0.0588235294117647</v>
      </c>
      <c r="H48" s="8">
        <v>17</v>
      </c>
      <c r="I48" s="6">
        <v>8.21</v>
      </c>
      <c r="J48" s="7">
        <v>0.294117647058823</v>
      </c>
    </row>
    <row r="49" spans="1:10">
      <c r="A49" s="4">
        <v>4</v>
      </c>
      <c r="B49" s="5" t="s">
        <v>272</v>
      </c>
      <c r="C49" s="5" t="s">
        <v>25</v>
      </c>
      <c r="D49" s="5" t="s">
        <v>24</v>
      </c>
      <c r="E49" s="7">
        <v>0.363636363636364</v>
      </c>
      <c r="F49" s="7">
        <v>0.0909090909090909</v>
      </c>
      <c r="G49" s="7">
        <v>0.181818181818182</v>
      </c>
      <c r="H49" s="8">
        <v>11</v>
      </c>
      <c r="I49" s="6">
        <v>19.27</v>
      </c>
      <c r="J49" s="7">
        <v>0.272727272727273</v>
      </c>
    </row>
    <row r="50" spans="1:10">
      <c r="A50" s="4">
        <v>5</v>
      </c>
      <c r="B50" s="5" t="s">
        <v>153</v>
      </c>
      <c r="C50" s="5" t="s">
        <v>25</v>
      </c>
      <c r="D50" s="5" t="s">
        <v>24</v>
      </c>
      <c r="E50" s="7">
        <v>0.166666666666667</v>
      </c>
      <c r="F50" s="7">
        <v>0</v>
      </c>
      <c r="G50" s="7">
        <v>0.333333333333333</v>
      </c>
      <c r="H50" s="8">
        <v>6</v>
      </c>
      <c r="I50" s="6">
        <v>5.49</v>
      </c>
      <c r="J50" s="7">
        <v>0.25</v>
      </c>
    </row>
    <row r="52" ht="15.75" customHeight="1" spans="1:10">
      <c r="A52" s="12" t="s">
        <v>735</v>
      </c>
    </row>
    <row r="53" spans="1:10">
      <c r="A53" s="3" t="s">
        <v>721</v>
      </c>
      <c r="B53" s="3" t="s">
        <v>2</v>
      </c>
      <c r="C53" s="3" t="s">
        <v>6</v>
      </c>
      <c r="D53" s="3" t="s">
        <v>5</v>
      </c>
      <c r="E53" s="3" t="s">
        <v>578</v>
      </c>
      <c r="F53" s="3" t="s">
        <v>9</v>
      </c>
      <c r="G53" s="3" t="s">
        <v>10</v>
      </c>
      <c r="H53" s="3" t="s">
        <v>11</v>
      </c>
      <c r="I53" s="3" t="s">
        <v>7</v>
      </c>
      <c r="J53" s="3" t="s">
        <v>324</v>
      </c>
    </row>
    <row r="54" spans="1:10">
      <c r="A54" s="13">
        <v>1</v>
      </c>
      <c r="B54" s="16" t="s">
        <v>355</v>
      </c>
      <c r="C54" s="16" t="s">
        <v>25</v>
      </c>
      <c r="D54" s="16" t="s">
        <v>24</v>
      </c>
      <c r="E54" s="18">
        <v>3.68</v>
      </c>
      <c r="F54" s="11">
        <v>0.333333333333333</v>
      </c>
      <c r="G54" s="11">
        <v>0.0740740740740741</v>
      </c>
      <c r="H54" s="11">
        <v>0.0740740740740741</v>
      </c>
      <c r="I54" s="17">
        <v>27</v>
      </c>
      <c r="J54" s="16" t="s">
        <v>736</v>
      </c>
    </row>
    <row r="55" spans="1:10">
      <c r="A55" s="13">
        <v>2</v>
      </c>
      <c r="B55" s="16" t="s">
        <v>217</v>
      </c>
      <c r="C55" s="16" t="s">
        <v>25</v>
      </c>
      <c r="D55" s="16" t="s">
        <v>72</v>
      </c>
      <c r="E55" s="18">
        <v>4.13</v>
      </c>
      <c r="F55" s="11">
        <v>0.444444444444444</v>
      </c>
      <c r="G55" s="11">
        <v>0.333333333333333</v>
      </c>
      <c r="H55" s="11">
        <v>0.333333333333333</v>
      </c>
      <c r="I55" s="17">
        <v>9</v>
      </c>
      <c r="J55" s="16" t="s">
        <v>737</v>
      </c>
    </row>
    <row r="56" spans="1:10">
      <c r="A56" s="4">
        <v>3</v>
      </c>
      <c r="B56" s="5" t="s">
        <v>254</v>
      </c>
      <c r="C56" s="5" t="s">
        <v>25</v>
      </c>
      <c r="D56" s="5" t="s">
        <v>72</v>
      </c>
      <c r="E56" s="6">
        <v>5.41</v>
      </c>
      <c r="F56" s="7">
        <v>0.1</v>
      </c>
      <c r="G56" s="7">
        <v>0.2</v>
      </c>
      <c r="H56" s="7">
        <v>0</v>
      </c>
      <c r="I56" s="8">
        <v>10</v>
      </c>
      <c r="J56" s="5" t="s">
        <v>738</v>
      </c>
    </row>
    <row r="57" spans="1:10">
      <c r="A57" s="4">
        <v>4</v>
      </c>
      <c r="B57" s="5" t="s">
        <v>153</v>
      </c>
      <c r="C57" s="5" t="s">
        <v>25</v>
      </c>
      <c r="D57" s="5" t="s">
        <v>24</v>
      </c>
      <c r="E57" s="6">
        <v>5.49</v>
      </c>
      <c r="F57" s="7">
        <v>0.166666666666667</v>
      </c>
      <c r="G57" s="7">
        <v>0</v>
      </c>
      <c r="H57" s="7">
        <v>0.333333333333333</v>
      </c>
      <c r="I57" s="8">
        <v>6</v>
      </c>
      <c r="J57" s="5" t="s">
        <v>739</v>
      </c>
    </row>
    <row r="58" spans="1:10">
      <c r="A58" s="4">
        <v>5</v>
      </c>
      <c r="B58" s="5" t="s">
        <v>369</v>
      </c>
      <c r="C58" s="5" t="s">
        <v>25</v>
      </c>
      <c r="D58" s="5" t="s">
        <v>24</v>
      </c>
      <c r="E58" s="6">
        <v>5.6</v>
      </c>
      <c r="F58" s="7">
        <v>0.166666666666667</v>
      </c>
      <c r="G58" s="7">
        <v>0.0833333333333333</v>
      </c>
      <c r="H58" s="7">
        <v>0.0833333333333333</v>
      </c>
      <c r="I58" s="8">
        <v>24</v>
      </c>
      <c r="J58" s="5" t="s">
        <v>740</v>
      </c>
    </row>
    <row r="61" ht="18" customHeight="1" spans="1:10">
      <c r="A61" s="1" t="s">
        <v>741</v>
      </c>
    </row>
    <row r="62" spans="1:10">
      <c r="A62" s="2" t="s">
        <v>742</v>
      </c>
    </row>
    <row r="64" spans="1:10">
      <c r="A64" s="3" t="s">
        <v>320</v>
      </c>
      <c r="B64" s="3" t="s">
        <v>2</v>
      </c>
      <c r="C64" s="3" t="s">
        <v>6</v>
      </c>
      <c r="D64" s="3" t="s">
        <v>5</v>
      </c>
      <c r="E64" s="3" t="s">
        <v>9</v>
      </c>
      <c r="F64" s="3" t="s">
        <v>11</v>
      </c>
      <c r="G64" s="3" t="s">
        <v>7</v>
      </c>
      <c r="H64" s="3" t="s">
        <v>578</v>
      </c>
      <c r="I64" s="3" t="s">
        <v>743</v>
      </c>
      <c r="J64" s="3" t="s">
        <v>437</v>
      </c>
    </row>
    <row r="65" ht="49.5" customHeight="1" spans="1:10">
      <c r="A65" s="13" t="s">
        <v>744</v>
      </c>
      <c r="B65" s="5" t="s">
        <v>217</v>
      </c>
      <c r="C65" s="5" t="s">
        <v>25</v>
      </c>
      <c r="D65" s="5" t="s">
        <v>72</v>
      </c>
      <c r="E65" s="7">
        <v>0.444</v>
      </c>
      <c r="F65" s="7">
        <v>0.333</v>
      </c>
      <c r="G65" s="8">
        <v>9</v>
      </c>
      <c r="H65" s="6">
        <v>4.13</v>
      </c>
      <c r="I65" s="5" t="s">
        <v>745</v>
      </c>
      <c r="J65" s="5" t="s">
        <v>746</v>
      </c>
    </row>
    <row r="66" ht="37.5" customHeight="1" spans="1:10">
      <c r="A66" s="13" t="s">
        <v>747</v>
      </c>
      <c r="B66" s="5" t="s">
        <v>176</v>
      </c>
      <c r="C66" s="5" t="s">
        <v>25</v>
      </c>
      <c r="D66" s="5" t="s">
        <v>24</v>
      </c>
      <c r="E66" s="7">
        <v>0.529</v>
      </c>
      <c r="F66" s="7">
        <v>0.059</v>
      </c>
      <c r="G66" s="8">
        <v>17</v>
      </c>
      <c r="H66" s="6">
        <v>8.21</v>
      </c>
      <c r="I66" s="5" t="s">
        <v>748</v>
      </c>
      <c r="J66" s="5" t="s">
        <v>749</v>
      </c>
    </row>
    <row r="67" ht="51" customHeight="1" spans="1:10">
      <c r="A67" s="13" t="s">
        <v>750</v>
      </c>
      <c r="B67" s="5" t="s">
        <v>369</v>
      </c>
      <c r="C67" s="5" t="s">
        <v>66</v>
      </c>
      <c r="D67" s="5" t="s">
        <v>24</v>
      </c>
      <c r="E67" s="7">
        <v>0.5</v>
      </c>
      <c r="F67" s="7">
        <v>0.167</v>
      </c>
      <c r="G67" s="8">
        <v>12</v>
      </c>
      <c r="H67" s="6">
        <v>8.89</v>
      </c>
      <c r="I67" s="5" t="s">
        <v>751</v>
      </c>
      <c r="J67" s="5" t="s">
        <v>752</v>
      </c>
    </row>
    <row r="68" ht="50.25" customHeight="1" spans="1:10">
      <c r="A68" s="13" t="s">
        <v>462</v>
      </c>
      <c r="B68" s="5" t="s">
        <v>272</v>
      </c>
      <c r="C68" s="5" t="s">
        <v>25</v>
      </c>
      <c r="D68" s="5" t="s">
        <v>24</v>
      </c>
      <c r="E68" s="7">
        <v>0.364</v>
      </c>
      <c r="F68" s="7">
        <v>0.182</v>
      </c>
      <c r="G68" s="8">
        <v>11</v>
      </c>
      <c r="H68" s="6">
        <v>19.27</v>
      </c>
      <c r="I68" s="5" t="s">
        <v>753</v>
      </c>
      <c r="J68" s="5" t="s">
        <v>754</v>
      </c>
    </row>
    <row r="69" ht="51" customHeight="1" spans="1:10">
      <c r="A69" s="13" t="s">
        <v>469</v>
      </c>
      <c r="B69" s="5" t="s">
        <v>355</v>
      </c>
      <c r="C69" s="5" t="s">
        <v>25</v>
      </c>
      <c r="D69" s="5" t="s">
        <v>24</v>
      </c>
      <c r="E69" s="7">
        <v>0.333</v>
      </c>
      <c r="F69" s="7">
        <v>0.074</v>
      </c>
      <c r="G69" s="8">
        <v>27</v>
      </c>
      <c r="H69" s="6">
        <v>3.68</v>
      </c>
      <c r="I69" s="5" t="s">
        <v>755</v>
      </c>
      <c r="J69" s="5" t="s">
        <v>756</v>
      </c>
    </row>
    <row r="72" ht="15.75" customHeight="1" spans="1:10">
      <c r="A72" s="12" t="s">
        <v>757</v>
      </c>
    </row>
    <row r="73" spans="1:10">
      <c r="A73" s="2" t="s">
        <v>758</v>
      </c>
    </row>
    <row r="74" spans="1:10">
      <c r="A74" s="2" t="s">
        <v>759</v>
      </c>
    </row>
    <row r="75" spans="1:10">
      <c r="A75" s="2" t="s">
        <v>760</v>
      </c>
    </row>
    <row r="76" spans="1:10">
      <c r="A76" s="2" t="s">
        <v>761</v>
      </c>
    </row>
    <row r="77" spans="1:10">
      <c r="A77" s="2" t="s">
        <v>762</v>
      </c>
    </row>
    <row r="78" spans="1:10">
      <c r="A78" s="2" t="s">
        <v>763</v>
      </c>
    </row>
    <row r="79" spans="1:10">
      <c r="A79" s="2" t="s">
        <v>764</v>
      </c>
    </row>
  </sheetData>
  <mergeCells count="16">
    <mergeCell ref="A1:M1"/>
    <mergeCell ref="A10:M10"/>
    <mergeCell ref="A25:J25"/>
    <mergeCell ref="A28:J28"/>
    <mergeCell ref="A36:J36"/>
    <mergeCell ref="A44:J44"/>
    <mergeCell ref="A52:J52"/>
    <mergeCell ref="A61:J61"/>
    <mergeCell ref="A72:J72"/>
    <mergeCell ref="A73:J73"/>
    <mergeCell ref="A74:J74"/>
    <mergeCell ref="A75:J75"/>
    <mergeCell ref="A76:J76"/>
    <mergeCell ref="A77:J77"/>
    <mergeCell ref="A78:J78"/>
    <mergeCell ref="A79:J7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素材全量数据-按素材</vt:lpstr>
      <vt:lpstr>9月推荐-按方向</vt:lpstr>
      <vt:lpstr>9月推荐-方向汇总</vt:lpstr>
      <vt:lpstr>9月测试素材推荐v2</vt:lpstr>
      <vt:lpstr>素材表现汇总</vt:lpstr>
      <vt:lpstr>数据概览</vt:lpstr>
      <vt:lpstr>素材分析-双月对比与推荐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WPS_1681873050</cp:lastModifiedBy>
  <dcterms:created xsi:type="dcterms:W3CDTF">2026-07-24T06:21:00Z</dcterms:created>
  <dcterms:modified xsi:type="dcterms:W3CDTF">2026-08-05T08:33:07Z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6230C839320E4CB4B85460BAD7BB77C7_12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